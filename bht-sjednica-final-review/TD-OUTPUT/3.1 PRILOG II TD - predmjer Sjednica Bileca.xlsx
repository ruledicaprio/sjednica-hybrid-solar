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4025" tabRatio="600" firstSheet="0" activeTab="1" autoFilterDateGrouping="1"/>
  </bookViews>
  <sheets>
    <sheet xmlns:r="http://schemas.openxmlformats.org/officeDocument/2006/relationships" name="LOT 1" sheetId="1" state="visible" r:id="rId1"/>
    <sheet xmlns:r="http://schemas.openxmlformats.org/officeDocument/2006/relationships" name="LOT 2" sheetId="2" state="visible" r:id="rId2"/>
  </sheets>
  <definedNames/>
  <calcPr calcId="191029" fullCalcOnLoad="1"/>
</workbook>
</file>

<file path=xl/styles.xml><?xml version="1.0" encoding="utf-8"?>
<styleSheet xmlns="http://schemas.openxmlformats.org/spreadsheetml/2006/main">
  <numFmts count="1">
    <numFmt numFmtId="164" formatCode="#,##0.00\ &quot;KM&quot;"/>
  </numFmts>
  <fonts count="13">
    <font>
      <name val="Calibri"/>
      <family val="2"/>
      <color theme="1"/>
      <sz val="11"/>
      <scheme val="minor"/>
    </font>
    <font>
      <name val="Arial"/>
      <b val="1"/>
      <sz val="10"/>
    </font>
    <font>
      <name val="Arial"/>
      <sz val="9"/>
    </font>
    <font>
      <name val="Arial"/>
      <b val="1"/>
      <sz val="9"/>
    </font>
    <font>
      <name val="Arial"/>
      <i val="1"/>
      <sz val="9"/>
    </font>
    <font>
      <name val="Arial"/>
      <charset val="238"/>
      <family val="2"/>
      <b val="1"/>
      <sz val="10"/>
    </font>
    <font>
      <name val="Arial"/>
      <charset val="238"/>
      <family val="2"/>
      <b val="1"/>
      <sz val="11"/>
    </font>
    <font>
      <name val="Arial"/>
      <charset val="238"/>
      <family val="2"/>
      <b val="1"/>
      <sz val="9"/>
    </font>
    <font>
      <name val="Arial"/>
      <charset val="238"/>
      <family val="2"/>
      <i val="1"/>
      <sz val="9"/>
    </font>
    <font>
      <name val="Arial"/>
      <charset val="238"/>
      <family val="2"/>
      <sz val="9"/>
    </font>
    <font>
      <name val="Arial"/>
      <charset val="238"/>
      <family val="2"/>
      <sz val="11"/>
    </font>
    <font>
      <b val="1"/>
      <sz val="10"/>
    </font>
    <font>
      <sz val="10"/>
    </font>
  </fonts>
  <fills count="8">
    <fill>
      <patternFill/>
    </fill>
    <fill>
      <patternFill patternType="gray125"/>
    </fill>
    <fill>
      <patternFill patternType="solid">
        <fgColor rgb="FFE8E8E8"/>
      </patternFill>
    </fill>
    <fill>
      <patternFill patternType="solid">
        <fgColor rgb="FFDCEEDC"/>
      </patternFill>
    </fill>
    <fill>
      <patternFill patternType="solid">
        <fgColor rgb="FFD9D9D9"/>
      </patternFill>
    </fill>
    <fill>
      <patternFill patternType="solid">
        <fgColor rgb="FFF8DEDE"/>
      </patternFill>
    </fill>
    <fill>
      <patternFill patternType="solid">
        <fgColor theme="6" tint="0.7999816888943144"/>
        <bgColor indexed="64"/>
      </patternFill>
    </fill>
    <fill>
      <patternFill patternType="solid">
        <fgColor rgb="FFFFFF00"/>
        <bgColor indexed="64"/>
      </patternFill>
    </fill>
  </fills>
  <borders count="36">
    <border>
      <left/>
      <right/>
      <top/>
      <bottom/>
      <diagonal/>
    </border>
    <border>
      <left style="thin">
        <color rgb="FF808080"/>
      </left>
      <right style="thin">
        <color rgb="FF808080"/>
      </right>
      <top style="thin">
        <color rgb="FF808080"/>
      </top>
      <bottom style="thin">
        <color rgb="FF808080"/>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rgb="FF808080"/>
      </left>
      <right style="thin">
        <color indexed="64"/>
      </right>
      <top/>
      <bottom style="thin">
        <color indexed="64"/>
      </bottom>
      <diagonal/>
    </border>
    <border>
      <left style="thin">
        <color indexed="64"/>
      </left>
      <right style="thin">
        <color rgb="FF808080"/>
      </right>
      <top style="thin">
        <color indexed="64"/>
      </top>
      <bottom/>
      <diagonal/>
    </border>
    <border>
      <left style="thin">
        <color rgb="FF808080"/>
      </left>
      <right style="thin">
        <color rgb="FF808080"/>
      </right>
      <top style="thin">
        <color indexed="64"/>
      </top>
      <bottom/>
      <diagonal/>
    </border>
    <border>
      <left style="thin">
        <color rgb="FF808080"/>
      </left>
      <right style="thin">
        <color indexed="64"/>
      </right>
      <top style="thin">
        <color indexed="64"/>
      </top>
      <bottom/>
      <diagonal/>
    </border>
    <border>
      <left style="thin">
        <color indexed="64"/>
      </left>
      <right style="thin">
        <color rgb="FF808080"/>
      </right>
      <top style="thin">
        <color indexed="64"/>
      </top>
      <bottom style="thin">
        <color indexed="64"/>
      </bottom>
      <diagonal/>
    </border>
    <border>
      <left style="thin">
        <color rgb="FF808080"/>
      </left>
      <right style="thin">
        <color rgb="FF808080"/>
      </right>
      <top style="thin">
        <color indexed="64"/>
      </top>
      <bottom style="thin">
        <color indexed="64"/>
      </bottom>
      <diagonal/>
    </border>
    <border>
      <left style="thin">
        <color rgb="FF808080"/>
      </left>
      <right style="thin">
        <color indexed="64"/>
      </right>
      <top style="thin">
        <color indexed="64"/>
      </top>
      <bottom style="thin">
        <color indexed="64"/>
      </bottom>
      <diagonal/>
    </border>
    <border>
      <left/>
      <right style="thin">
        <color rgb="FF808080"/>
      </right>
      <top style="thin">
        <color indexed="64"/>
      </top>
      <bottom style="thin">
        <color indexed="64"/>
      </bottom>
      <diagonal/>
    </border>
    <border>
      <left style="thin">
        <color rgb="FF808080"/>
      </left>
      <right/>
      <top style="thin">
        <color rgb="FF808080"/>
      </top>
      <bottom style="thin">
        <color rgb="FF808080"/>
      </bottom>
      <diagonal/>
    </border>
    <border>
      <left style="thin">
        <color rgb="FF808080"/>
      </left>
      <right/>
      <top style="thin">
        <color indexed="64"/>
      </top>
      <bottom style="thin">
        <color rgb="FF808080"/>
      </bottom>
      <diagonal/>
    </border>
    <border>
      <left/>
      <right/>
      <top style="thin">
        <color indexed="64"/>
      </top>
      <bottom style="thin">
        <color rgb="FF808080"/>
      </bottom>
      <diagonal/>
    </border>
    <border>
      <left/>
      <right style="thin">
        <color rgb="FF808080"/>
      </right>
      <top style="thin">
        <color indexed="64"/>
      </top>
      <bottom style="thin">
        <color rgb="FF808080"/>
      </bottom>
      <diagonal/>
    </border>
    <border>
      <left/>
      <right/>
      <top style="thin">
        <color rgb="FF808080"/>
      </top>
      <bottom/>
      <diagonal/>
    </border>
    <border>
      <left/>
      <right style="thin">
        <color rgb="FF808080"/>
      </right>
      <top style="thin">
        <color rgb="FF808080"/>
      </top>
      <bottom/>
      <diagonal/>
    </border>
    <border>
      <left/>
      <right/>
      <top style="thin">
        <color indexed="64"/>
      </top>
      <bottom/>
      <diagonal/>
    </border>
    <border>
      <left/>
      <right style="thin">
        <color rgb="FF808080"/>
      </right>
      <top style="thin">
        <color indexed="64"/>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05">
    <xf numFmtId="0" fontId="0" fillId="0" borderId="0" pivotButton="0" quotePrefix="0" xfId="0"/>
    <xf numFmtId="0" fontId="2" fillId="0" borderId="0" pivotButton="0" quotePrefix="0" xfId="0"/>
    <xf numFmtId="0" fontId="4" fillId="0" borderId="1" applyAlignment="1" pivotButton="0" quotePrefix="0" xfId="0">
      <alignment vertical="top" wrapText="1"/>
    </xf>
    <xf numFmtId="0" fontId="3" fillId="2" borderId="1" applyAlignment="1" pivotButton="0" quotePrefix="0" xfId="0">
      <alignment horizontal="center" vertical="center"/>
    </xf>
    <xf numFmtId="0" fontId="3" fillId="2" borderId="1" applyAlignment="1" pivotButton="0" quotePrefix="0" xfId="0">
      <alignment vertical="top" wrapText="1"/>
    </xf>
    <xf numFmtId="0" fontId="0" fillId="2" borderId="1" pivotButton="0" quotePrefix="0" xfId="0"/>
    <xf numFmtId="0" fontId="2" fillId="0" borderId="1" applyAlignment="1" pivotButton="0" quotePrefix="0" xfId="0">
      <alignment horizontal="center" vertical="center"/>
    </xf>
    <xf numFmtId="0" fontId="2" fillId="0" borderId="1" applyAlignment="1" pivotButton="0" quotePrefix="0" xfId="0">
      <alignment vertical="top" wrapText="1"/>
    </xf>
    <xf numFmtId="4" fontId="0" fillId="0" borderId="1" pivotButton="0" quotePrefix="0" xfId="0"/>
    <xf numFmtId="0" fontId="0" fillId="0" borderId="1" pivotButton="0" quotePrefix="0" xfId="0"/>
    <xf numFmtId="4" fontId="3" fillId="4" borderId="1" pivotButton="0" quotePrefix="0" xfId="0"/>
    <xf numFmtId="4" fontId="1" fillId="3" borderId="1" pivotButton="0" quotePrefix="0" xfId="0"/>
    <xf numFmtId="0" fontId="1" fillId="5" borderId="1" applyAlignment="1" pivotButton="0" quotePrefix="0" xfId="0">
      <alignment horizontal="right" vertical="center"/>
    </xf>
    <xf numFmtId="164" fontId="1" fillId="5" borderId="1" applyAlignment="1" pivotButton="0" quotePrefix="0" xfId="0">
      <alignment horizontal="center" vertical="center"/>
    </xf>
    <xf numFmtId="4" fontId="1" fillId="5" borderId="1" pivotButton="0" quotePrefix="0" xfId="0"/>
    <xf numFmtId="0" fontId="3" fillId="4" borderId="1" applyAlignment="1" pivotButton="0" quotePrefix="0" xfId="0">
      <alignment horizontal="right" vertical="center"/>
    </xf>
    <xf numFmtId="0" fontId="0" fillId="0" borderId="2" pivotButton="0" quotePrefix="0" xfId="0"/>
    <xf numFmtId="0" fontId="0" fillId="0" borderId="3" pivotButton="0" quotePrefix="0" xfId="0"/>
    <xf numFmtId="0" fontId="4" fillId="0" borderId="0" applyAlignment="1" pivotButton="0" quotePrefix="0" xfId="0">
      <alignment vertical="top" wrapText="1"/>
    </xf>
    <xf numFmtId="0" fontId="0" fillId="0" borderId="0" pivotButton="0" quotePrefix="0" xfId="0"/>
    <xf numFmtId="0" fontId="1" fillId="5" borderId="1" applyAlignment="1" pivotButton="0" quotePrefix="0" xfId="0">
      <alignment horizontal="center" vertical="center"/>
    </xf>
    <xf numFmtId="0" fontId="1" fillId="2" borderId="1" applyAlignment="1" pivotButton="0" quotePrefix="0" xfId="0">
      <alignment horizontal="center" vertical="center"/>
    </xf>
    <xf numFmtId="0" fontId="3" fillId="0" borderId="0" applyAlignment="1" pivotButton="0" quotePrefix="0" xfId="0">
      <alignment vertical="top" wrapText="1"/>
    </xf>
    <xf numFmtId="0" fontId="1" fillId="5" borderId="1" applyAlignment="1" pivotButton="0" quotePrefix="0" xfId="0">
      <alignment horizontal="right" vertical="center"/>
    </xf>
    <xf numFmtId="0" fontId="2" fillId="0" borderId="5" applyAlignment="1" pivotButton="0" quotePrefix="0" xfId="0">
      <alignment horizontal="center" vertical="center"/>
    </xf>
    <xf numFmtId="0" fontId="0" fillId="0" borderId="6" pivotButton="0" quotePrefix="0" xfId="0"/>
    <xf numFmtId="0" fontId="0" fillId="0" borderId="7" pivotButton="0" quotePrefix="0" xfId="0"/>
    <xf numFmtId="4" fontId="0" fillId="0" borderId="5" pivotButton="0" quotePrefix="0" xfId="0"/>
    <xf numFmtId="0" fontId="2" fillId="0" borderId="6" applyAlignment="1" pivotButton="0" quotePrefix="0" xfId="0">
      <alignment horizontal="center" vertical="center"/>
    </xf>
    <xf numFmtId="4" fontId="0" fillId="0" borderId="6" pivotButton="0" quotePrefix="0" xfId="0"/>
    <xf numFmtId="0" fontId="0" fillId="6" borderId="8" pivotButton="0" quotePrefix="0" xfId="0"/>
    <xf numFmtId="0" fontId="3" fillId="2" borderId="11" applyAlignment="1" pivotButton="0" quotePrefix="0" xfId="0">
      <alignment vertical="center" wrapText="1"/>
    </xf>
    <xf numFmtId="0" fontId="0" fillId="2" borderId="12" applyAlignment="1" pivotButton="0" quotePrefix="0" xfId="0">
      <alignment vertical="center"/>
    </xf>
    <xf numFmtId="0" fontId="0" fillId="2" borderId="13" applyAlignment="1" pivotButton="0" quotePrefix="0" xfId="0">
      <alignment vertical="center"/>
    </xf>
    <xf numFmtId="0" fontId="1" fillId="6" borderId="8" applyAlignment="1" pivotButton="0" quotePrefix="0" xfId="0">
      <alignment vertical="center"/>
    </xf>
    <xf numFmtId="0" fontId="0" fillId="6" borderId="9" applyAlignment="1" pivotButton="0" quotePrefix="0" xfId="0">
      <alignment vertical="center"/>
    </xf>
    <xf numFmtId="0" fontId="1" fillId="6" borderId="9" applyAlignment="1" pivotButton="0" quotePrefix="0" xfId="0">
      <alignment horizontal="right" vertical="center"/>
    </xf>
    <xf numFmtId="164" fontId="1" fillId="6" borderId="10" applyAlignment="1" pivotButton="0" quotePrefix="0" xfId="0">
      <alignment horizontal="center" vertical="center"/>
    </xf>
    <xf numFmtId="0" fontId="2" fillId="0" borderId="7" applyAlignment="1" pivotButton="0" quotePrefix="0" xfId="0">
      <alignment horizontal="center" vertical="center"/>
    </xf>
    <xf numFmtId="4" fontId="0" fillId="0" borderId="7" pivotButton="0" quotePrefix="0" xfId="0"/>
    <xf numFmtId="0" fontId="2" fillId="0" borderId="4" applyAlignment="1" pivotButton="0" quotePrefix="0" xfId="0">
      <alignment horizontal="center" vertical="center"/>
    </xf>
    <xf numFmtId="4" fontId="0" fillId="0" borderId="4" pivotButton="0" quotePrefix="0" xfId="0"/>
    <xf numFmtId="0" fontId="3" fillId="2" borderId="14" applyAlignment="1" pivotButton="0" quotePrefix="0" xfId="0">
      <alignment horizontal="center" vertical="center"/>
    </xf>
    <xf numFmtId="0" fontId="4" fillId="0" borderId="16" applyAlignment="1" pivotButton="0" quotePrefix="0" xfId="0">
      <alignment horizontal="center" vertical="center"/>
    </xf>
    <xf numFmtId="0" fontId="4" fillId="0" borderId="17" applyAlignment="1" pivotButton="0" quotePrefix="0" xfId="0">
      <alignment horizontal="center" vertical="center" wrapText="1"/>
    </xf>
    <xf numFmtId="0" fontId="4" fillId="0" borderId="17" applyAlignment="1" pivotButton="0" quotePrefix="0" xfId="0">
      <alignment horizontal="center" vertical="center"/>
    </xf>
    <xf numFmtId="0" fontId="4" fillId="0" borderId="18" applyAlignment="1" pivotButton="0" quotePrefix="0" xfId="0">
      <alignment horizontal="center" vertical="center"/>
    </xf>
    <xf numFmtId="0" fontId="3" fillId="2" borderId="19" applyAlignment="1" pivotButton="0" quotePrefix="0" xfId="0">
      <alignment horizontal="center" vertical="center" wrapText="1"/>
    </xf>
    <xf numFmtId="0" fontId="3" fillId="2" borderId="20" applyAlignment="1" pivotButton="0" quotePrefix="0" xfId="0">
      <alignment vertical="center" wrapText="1"/>
    </xf>
    <xf numFmtId="0" fontId="3" fillId="2" borderId="20" applyAlignment="1" pivotButton="0" quotePrefix="0" xfId="0">
      <alignment horizontal="center" vertical="center" wrapText="1"/>
    </xf>
    <xf numFmtId="0" fontId="3" fillId="2" borderId="21" applyAlignment="1" pivotButton="0" quotePrefix="0" xfId="0">
      <alignment horizontal="center" vertical="center" wrapText="1"/>
    </xf>
    <xf numFmtId="0" fontId="6" fillId="0" borderId="0" applyAlignment="1" pivotButton="0" quotePrefix="0" xfId="0">
      <alignment horizontal="center"/>
    </xf>
    <xf numFmtId="0" fontId="3" fillId="4" borderId="23" applyAlignment="1" pivotButton="0" quotePrefix="0" xfId="0">
      <alignment horizontal="right" vertical="center"/>
    </xf>
    <xf numFmtId="0" fontId="3" fillId="4" borderId="2" applyAlignment="1" pivotButton="0" quotePrefix="0" xfId="0">
      <alignment horizontal="right" vertical="center"/>
    </xf>
    <xf numFmtId="0" fontId="3" fillId="4" borderId="3" applyAlignment="1" pivotButton="0" quotePrefix="0" xfId="0">
      <alignment horizontal="right" vertical="center"/>
    </xf>
    <xf numFmtId="0" fontId="1" fillId="3" borderId="23" applyAlignment="1" pivotButton="0" quotePrefix="0" xfId="0">
      <alignment horizontal="right" vertical="center"/>
    </xf>
    <xf numFmtId="0" fontId="1" fillId="3" borderId="2" applyAlignment="1" pivotButton="0" quotePrefix="0" xfId="0">
      <alignment horizontal="right" vertical="center"/>
    </xf>
    <xf numFmtId="0" fontId="1" fillId="3" borderId="3" applyAlignment="1" pivotButton="0" quotePrefix="0" xfId="0">
      <alignment horizontal="right" vertical="center"/>
    </xf>
    <xf numFmtId="0" fontId="7" fillId="4" borderId="23" applyAlignment="1" pivotButton="0" quotePrefix="0" xfId="0">
      <alignment horizontal="right" vertical="center"/>
    </xf>
    <xf numFmtId="0" fontId="7" fillId="4" borderId="2" applyAlignment="1" pivotButton="0" quotePrefix="0" xfId="0">
      <alignment horizontal="right" vertical="center"/>
    </xf>
    <xf numFmtId="0" fontId="7" fillId="4" borderId="3" applyAlignment="1" pivotButton="0" quotePrefix="0" xfId="0">
      <alignment horizontal="right" vertical="center"/>
    </xf>
    <xf numFmtId="0" fontId="8" fillId="0" borderId="1" applyAlignment="1" pivotButton="0" quotePrefix="0" xfId="0">
      <alignment vertical="top" wrapText="1"/>
    </xf>
    <xf numFmtId="0" fontId="0" fillId="0" borderId="0" pivotButton="0" quotePrefix="0" xfId="0"/>
    <xf numFmtId="0" fontId="9" fillId="0" borderId="1" applyAlignment="1" pivotButton="0" quotePrefix="0" xfId="0">
      <alignment vertical="top" wrapText="1"/>
    </xf>
    <xf numFmtId="0" fontId="5" fillId="4" borderId="8" applyAlignment="1" pivotButton="0" quotePrefix="0" xfId="0">
      <alignment horizontal="right" vertical="center"/>
    </xf>
    <xf numFmtId="0" fontId="5" fillId="4" borderId="9" applyAlignment="1" pivotButton="0" quotePrefix="0" xfId="0">
      <alignment horizontal="right" vertical="center"/>
    </xf>
    <xf numFmtId="0" fontId="5" fillId="4" borderId="22" applyAlignment="1" pivotButton="0" quotePrefix="0" xfId="0">
      <alignment horizontal="right" vertical="center"/>
    </xf>
    <xf numFmtId="4" fontId="5" fillId="4" borderId="15" pivotButton="0" quotePrefix="0" xfId="0"/>
    <xf numFmtId="0" fontId="6" fillId="0" borderId="0" pivotButton="0" quotePrefix="0" xfId="0"/>
    <xf numFmtId="0" fontId="0" fillId="0" borderId="0" pivotButton="0" quotePrefix="0" xfId="0"/>
    <xf numFmtId="0" fontId="10" fillId="0" borderId="0" pivotButton="0" quotePrefix="0" xfId="0"/>
    <xf numFmtId="0" fontId="5" fillId="5" borderId="24" applyAlignment="1" pivotButton="0" quotePrefix="0" xfId="0">
      <alignment vertical="center"/>
    </xf>
    <xf numFmtId="0" fontId="5" fillId="5" borderId="25" applyAlignment="1" pivotButton="0" quotePrefix="0" xfId="0">
      <alignment vertical="center"/>
    </xf>
    <xf numFmtId="0" fontId="5" fillId="5" borderId="26" applyAlignment="1" pivotButton="0" quotePrefix="0" xfId="0">
      <alignment vertical="center"/>
    </xf>
    <xf numFmtId="0" fontId="3" fillId="2" borderId="4" applyAlignment="1" pivotButton="0" quotePrefix="0" xfId="0">
      <alignment horizontal="center" vertical="center" wrapText="1"/>
    </xf>
    <xf numFmtId="0" fontId="3" fillId="2" borderId="4" applyAlignment="1" pivotButton="0" quotePrefix="0" xfId="0">
      <alignment vertical="center" wrapText="1"/>
    </xf>
    <xf numFmtId="0" fontId="2" fillId="7" borderId="1" applyAlignment="1" pivotButton="0" quotePrefix="0" xfId="0">
      <alignment horizontal="center" vertical="center"/>
    </xf>
    <xf numFmtId="0" fontId="9" fillId="7" borderId="1" applyAlignment="1" pivotButton="0" quotePrefix="0" xfId="0">
      <alignment vertical="top" wrapText="1"/>
    </xf>
    <xf numFmtId="0" fontId="2" fillId="7" borderId="1" applyAlignment="1" pivotButton="0" quotePrefix="0" xfId="0">
      <alignment vertical="top" wrapText="1"/>
    </xf>
    <xf numFmtId="0" fontId="2" fillId="7" borderId="5" applyAlignment="1" pivotButton="0" quotePrefix="0" xfId="0">
      <alignment horizontal="center" vertical="center"/>
    </xf>
    <xf numFmtId="0" fontId="9" fillId="7" borderId="5" applyAlignment="1" pivotButton="0" quotePrefix="0" xfId="0">
      <alignment vertical="top" wrapText="1"/>
    </xf>
    <xf numFmtId="0" fontId="0" fillId="7" borderId="6" pivotButton="0" quotePrefix="0" xfId="0"/>
    <xf numFmtId="0" fontId="2" fillId="7" borderId="6" applyAlignment="1" pivotButton="0" quotePrefix="0" xfId="0">
      <alignment vertical="top" wrapText="1"/>
    </xf>
    <xf numFmtId="0" fontId="9" fillId="7" borderId="6" applyAlignment="1" pivotButton="0" quotePrefix="0" xfId="0">
      <alignment vertical="top" wrapText="1"/>
    </xf>
    <xf numFmtId="0" fontId="0" fillId="7" borderId="7" pivotButton="0" quotePrefix="0" xfId="0"/>
    <xf numFmtId="0" fontId="2" fillId="7" borderId="7" applyAlignment="1" pivotButton="0" quotePrefix="0" xfId="0">
      <alignment vertical="top" wrapText="1"/>
    </xf>
    <xf numFmtId="0" fontId="2" fillId="7" borderId="6" applyAlignment="1" pivotButton="0" quotePrefix="0" xfId="0">
      <alignment horizontal="center" vertical="center"/>
    </xf>
    <xf numFmtId="0" fontId="2" fillId="7" borderId="7" applyAlignment="1" pivotButton="0" quotePrefix="0" xfId="0">
      <alignment horizontal="center" vertical="center"/>
    </xf>
    <xf numFmtId="0" fontId="9" fillId="7" borderId="7" applyAlignment="1" pivotButton="0" quotePrefix="0" xfId="0">
      <alignment vertical="top" wrapText="1"/>
    </xf>
    <xf numFmtId="0" fontId="2" fillId="7" borderId="4" applyAlignment="1" pivotButton="0" quotePrefix="0" xfId="0">
      <alignment horizontal="center" vertical="center"/>
    </xf>
    <xf numFmtId="0" fontId="2" fillId="7" borderId="4" applyAlignment="1" pivotButton="0" quotePrefix="0" xfId="0">
      <alignment vertical="top" wrapText="1"/>
    </xf>
    <xf numFmtId="0" fontId="9" fillId="7" borderId="4" applyAlignment="1" pivotButton="0" quotePrefix="0" xfId="0">
      <alignment vertical="top" wrapText="1"/>
    </xf>
    <xf numFmtId="0" fontId="5" fillId="4" borderId="19" applyAlignment="1" pivotButton="0" quotePrefix="0" xfId="0">
      <alignment horizontal="right" vertical="center"/>
    </xf>
    <xf numFmtId="0" fontId="0" fillId="0" borderId="9" pivotButton="0" quotePrefix="0" xfId="0"/>
    <xf numFmtId="0" fontId="0" fillId="0" borderId="22" pivotButton="0" quotePrefix="0" xfId="0"/>
    <xf numFmtId="0" fontId="1" fillId="3" borderId="1" applyAlignment="1" pivotButton="0" quotePrefix="0" xfId="0">
      <alignment horizontal="right" vertical="center"/>
    </xf>
    <xf numFmtId="0" fontId="7" fillId="4" borderId="1" applyAlignment="1" pivotButton="0" quotePrefix="0" xfId="0">
      <alignment horizontal="right" vertical="center"/>
    </xf>
    <xf numFmtId="0" fontId="0" fillId="0" borderId="0" applyAlignment="1" pivotButton="0" quotePrefix="0" xfId="0">
      <alignment vertical="top" wrapText="1"/>
    </xf>
    <xf numFmtId="0" fontId="11" fillId="0" borderId="31" applyAlignment="1" pivotButton="0" quotePrefix="0" xfId="0">
      <alignment horizontal="left" vertical="center"/>
    </xf>
    <xf numFmtId="0" fontId="0" fillId="0" borderId="31" pivotButton="0" quotePrefix="0" xfId="0"/>
    <xf numFmtId="4" fontId="11" fillId="0" borderId="31" pivotButton="0" quotePrefix="0" xfId="0"/>
    <xf numFmtId="0" fontId="12" fillId="0" borderId="31" applyAlignment="1" pivotButton="0" quotePrefix="0" xfId="0">
      <alignment horizontal="left" vertical="center"/>
    </xf>
    <xf numFmtId="4" fontId="12" fillId="0" borderId="31" pivotButton="0" quotePrefix="0" xfId="0"/>
    <xf numFmtId="0" fontId="0" fillId="0" borderId="34" pivotButton="0" quotePrefix="0" xfId="0"/>
    <xf numFmtId="0" fontId="0" fillId="0" borderId="35"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90"/>
  <sheetViews>
    <sheetView view="pageLayout" topLeftCell="A154" zoomScaleNormal="100" workbookViewId="0">
      <selection activeCell="B168" sqref="B168"/>
    </sheetView>
  </sheetViews>
  <sheetFormatPr baseColWidth="8" defaultRowHeight="15"/>
  <cols>
    <col width="5.7109375" customWidth="1" style="69" min="1" max="1"/>
    <col width="72.140625" customWidth="1" style="69" min="2" max="2"/>
    <col width="6.42578125" bestFit="1" customWidth="1" style="69" min="3" max="3"/>
    <col width="7.42578125" bestFit="1" customWidth="1" style="69" min="4" max="4"/>
    <col width="12.42578125" customWidth="1" style="69" min="5" max="5"/>
    <col width="14.28515625" customWidth="1" style="69" min="6" max="6"/>
  </cols>
  <sheetData>
    <row r="1">
      <c r="A1" s="68" t="inlineStr">
        <is>
          <t>PRILOG II TD</t>
        </is>
      </c>
    </row>
    <row r="2">
      <c r="A2" s="51" t="inlineStr">
        <is>
          <t>OBRAZAC ZA CIJENU PONUDE - LOT 1</t>
        </is>
      </c>
    </row>
    <row r="3">
      <c r="A3" s="51" t="inlineStr">
        <is>
          <t>INFRASTRUKTURA I INSTALACIJA OPREME ZA AUTONOMNI HIBRIDNI SISTEM NAPAJANJA SJEDNICA, BILEĆA (LOT 1 i 2)</t>
        </is>
      </c>
    </row>
    <row r="5">
      <c r="B5" s="70" t="inlineStr">
        <is>
          <t>Naziv Ponuđača:       __________________________________</t>
        </is>
      </c>
    </row>
    <row r="6">
      <c r="B6" s="70" t="inlineStr">
        <is>
          <t>Ponuda br.:                __________________________________</t>
        </is>
      </c>
    </row>
    <row r="8">
      <c r="A8" s="43" t="inlineStr">
        <is>
          <t>1</t>
        </is>
      </c>
      <c r="B8" s="44" t="inlineStr">
        <is>
          <t>2</t>
        </is>
      </c>
      <c r="C8" s="45" t="inlineStr">
        <is>
          <t>3</t>
        </is>
      </c>
      <c r="D8" s="45" t="inlineStr">
        <is>
          <t>4</t>
        </is>
      </c>
      <c r="E8" s="45" t="inlineStr">
        <is>
          <t>5</t>
        </is>
      </c>
      <c r="F8" s="46" t="inlineStr">
        <is>
          <t>6</t>
        </is>
      </c>
    </row>
    <row r="9" ht="24" customHeight="1" s="69">
      <c r="A9" s="74" t="inlineStr">
        <is>
          <t>r.br.</t>
        </is>
      </c>
      <c r="B9" s="75" t="inlineStr">
        <is>
          <t>Opis stavke</t>
        </is>
      </c>
      <c r="C9" s="74" t="inlineStr">
        <is>
          <t>Jed. mjere</t>
        </is>
      </c>
      <c r="D9" s="74" t="inlineStr">
        <is>
          <t>Količina</t>
        </is>
      </c>
      <c r="E9" s="74" t="inlineStr">
        <is>
          <t>Jed. cijena u KM bez PDV-a</t>
        </is>
      </c>
      <c r="F9" s="74" t="inlineStr">
        <is>
          <t>Ukupna cijena u KM bez PDV-a  6=(4x5)</t>
        </is>
      </c>
    </row>
    <row r="10">
      <c r="A10" s="30" t="n"/>
      <c r="B10" s="34" t="inlineStr">
        <is>
          <t>LOT 1 — KONSTRUKCIJA NOSAČA ZA FOTONAPONSKE PANELE</t>
        </is>
      </c>
      <c r="C10" s="35" t="n"/>
      <c r="D10" s="35" t="n"/>
      <c r="E10" s="36" t="n"/>
      <c r="F10" s="37" t="n"/>
    </row>
    <row r="11">
      <c r="A11" s="42" t="inlineStr">
        <is>
          <t>1</t>
        </is>
      </c>
      <c r="B11" s="31" t="inlineStr">
        <is>
          <t>NOSAČI ZA FOTONAPONSKE PANELE</t>
        </is>
      </c>
      <c r="C11" s="32" t="n"/>
      <c r="D11" s="32" t="n"/>
      <c r="E11" s="32" t="n"/>
      <c r="F11" s="33" t="n"/>
    </row>
    <row r="12" ht="24" customHeight="1" s="69">
      <c r="A12" s="24" t="inlineStr">
        <is>
          <t>1.1</t>
        </is>
      </c>
      <c r="B12" s="80" t="inlineStr">
        <is>
          <t>Isporuka i montaža nosive metalne konstrukcije (ground mount support) za prihvat fotonaponskih panela, karakteristika:
 - tip: CUSTOM IZRADA (izvan kataloga zbog opterećenja vjetrom, v. niže) — 3 nosača, svaki za 4 fotonaponska modula (2 reda × 2 kolone, portret); geometrija margina/prepusta preuzeta iz Huawei Standard A-Shaped Support 3.0 konvencije (PVM Tabela 4-20), ali poprečna greda izrađena po mjeri za 2 kolone modula, ne za kataloških 6
 - inklinacija: fiksno 45°, orijentacija JUG (azimut 180°). Nagib je zadržan zbog decembarskog prinosa — pri podnevnoj visini Sunca 23,6° na 42,94° N nagib 45° ostvaruje 93 % direktnog zračenja u odnosu na 85 % pri 35°, a decembar je mjerodavni mjesec za dimenzionisanje autonomnog sistema
 - gabariti PV polja po nosaču (2 reda × 2 modula, portret): širina polja 2305 mm (poprečna greda 2918 mm, bočni prepust 306,5 mm), dužina polja po nagibu 4576 mm (2 × 2278 mm, nepromijenjeno), horizontalna projekcija 3236 mm pri nagibu 45°; donja ivica panela na +1,50 m, gornja ivica na +4,74 m od nivoa terena — podignuto za 1,00 m u odnosu na raniju 2×6 izvedbu, jer manje opterećenje vjetra po nosaču to dopušta (v. proračun F.6)
 - smještaj: nosači se temelje IZVAN ograđenog platoa, 400 mm južno od kote ograde (raspoloživi pojas 1950 mm); gornja (sjeverna) ivica panela je 2,84 m iznad kote ograde h=1,90 m. Ponuđač provjerava da konstrukcija u cijelosti ostaje unutar zakupljene parcele 16,00 × 9,40 m
 - MJERODAVNO OPTEREĆENJE VJETROM: qp ≥ 1,20 kN/m² (udar 3 s ≈ 45 m/s) prema ovjerenoj projektnoj dokumentaciji lokacije i BAS EN 1991-1-4 sa BiH nacionalnim aneksom, uz primjenu faktora orografije za izloženi planinski vrh na 1076 m n.v. Koeficijent sile cf ≥ 1,5 pri 45° prema EN 1991-1-4 §7.3, osim ako se proračunom dokaže drugačije. Površina izloženosti vjetru 10,55 m² po nosaču (2305 × 4576 mm). Projektne sile po nosaču (GSN, γQ=1,5 / γG,fav=0,9): podizanje ≥18,1 kN, horizontalna sila ≥13,4 kN, moment prevrtanja ≥62,8 kNm. Mjerodavni su podizanje (uplift) i prevrtanje, a ne nosivost tla. NAPOMENA: kataloški nosač tipa A ima deklarisanu otpornost 31 m/s (0,52 kN/m²) pri 45° i 40 m/s (0,87 kN/m²) pri 15°/25°, što je ISPOD opterećenja ovog lokaliteta čak i za manje polje; Ponuđač je stoga dužan ponuditi konstrukciju dimenzionisanu i dokazanu za stvarno opterećenje lokaliteta, uz pisanu potvrdu proizvođača za konkretnu lokaciju (planinski vrh) ako se ipak nudi kataloški proizvod
 - materijal i izrada: konstrukcijski čelik S275JR (S355JR za stubove) prema EN 10025-2, šuplji profili prema EN 10219 — stubovi min. RHS 80×80×4, rigle min. RHS 60×40×3, ili bilo koji presjek za koji se proračunom dokaže najmanje jednak otporni moment; antikorozivna zaštita vrućim cinčanjem prema EN ISO 1461 min. 70 µm lokalno / 85 µm srednje (klasa korozivnosti C4); zavarivanje prema EN 1090-2 klasa izvedbe EXC2; CE označavanje i izjava o svojstvima prema EN 1090-1; konstrukcijski vijci M16 klase 8.8 prema EN 15048, pričvrsni pribor modula A2/A4 nehrđajući
 - spojni pribor: nehrđajući čelik A2/A4
 - uključeno ožičenje i povezivanje sva tri polja panela do PVDB distribucije preko po-string DC odvodnika prenapona (v. Tačku 1.6a i crtež E-01): PV-1 i PV-2 paralelno na rutu 1, PV-3 samostalno na rutu 2</t>
        </is>
      </c>
      <c r="C12" s="79" t="inlineStr">
        <is>
          <t>kpl</t>
        </is>
      </c>
      <c r="D12" s="79" t="n">
        <v>3</v>
      </c>
      <c r="E12" s="27" t="n"/>
      <c r="F12" s="27">
        <f>IF(AND(D12&lt;&gt;"",E12&lt;&gt;""),D12*E12,"")</f>
        <v/>
      </c>
    </row>
    <row r="13">
      <c r="A13" s="25" t="n"/>
      <c r="B13" s="82" t="n"/>
      <c r="C13" s="81" t="n"/>
      <c r="D13" s="81" t="n"/>
      <c r="E13" s="25" t="n"/>
      <c r="F13" s="25" t="n"/>
    </row>
    <row r="14">
      <c r="A14" s="25" t="n"/>
      <c r="B14" s="83" t="n"/>
      <c r="C14" s="81" t="n"/>
      <c r="D14" s="81" t="n"/>
      <c r="E14" s="25" t="n"/>
      <c r="F14" s="25" t="n"/>
    </row>
    <row r="15">
      <c r="A15" s="25" t="n"/>
      <c r="B15" s="82" t="n"/>
      <c r="C15" s="81" t="n"/>
      <c r="D15" s="81" t="n"/>
      <c r="E15" s="25" t="n"/>
      <c r="F15" s="25" t="n"/>
    </row>
    <row r="16">
      <c r="A16" s="25" t="n"/>
      <c r="B16" s="82" t="n"/>
      <c r="C16" s="81" t="n"/>
      <c r="D16" s="81" t="n"/>
      <c r="E16" s="25" t="n"/>
      <c r="F16" s="25" t="n"/>
    </row>
    <row r="17" ht="24" customHeight="1" s="69">
      <c r="A17" s="25" t="n"/>
      <c r="B17" s="82" t="n"/>
      <c r="C17" s="81" t="n"/>
      <c r="D17" s="81" t="n"/>
      <c r="E17" s="25" t="n"/>
      <c r="F17" s="25" t="n"/>
    </row>
    <row r="18">
      <c r="A18" s="25" t="n"/>
      <c r="B18" s="82" t="n"/>
      <c r="C18" s="81" t="n"/>
      <c r="D18" s="81" t="n"/>
      <c r="E18" s="25" t="n"/>
      <c r="F18" s="25" t="n"/>
    </row>
    <row r="19" ht="24" customHeight="1" s="69">
      <c r="A19" s="25" t="n"/>
      <c r="B19" s="82" t="n"/>
      <c r="C19" s="81" t="n"/>
      <c r="D19" s="81" t="n"/>
      <c r="E19" s="25" t="n"/>
      <c r="F19" s="25" t="n"/>
    </row>
    <row r="20" ht="24" customHeight="1" s="69">
      <c r="A20" s="25" t="n"/>
      <c r="B20" s="82" t="n"/>
      <c r="C20" s="81" t="n"/>
      <c r="D20" s="81" t="n"/>
      <c r="E20" s="25" t="n"/>
      <c r="F20" s="25" t="n"/>
    </row>
    <row r="21" ht="24" customHeight="1" s="69">
      <c r="A21" s="25" t="n"/>
      <c r="B21" s="82" t="n"/>
      <c r="C21" s="81" t="n"/>
      <c r="D21" s="81" t="n"/>
      <c r="E21" s="25" t="n"/>
      <c r="F21" s="25" t="n"/>
    </row>
    <row r="22" ht="24" customHeight="1" s="69">
      <c r="A22" s="25" t="n"/>
      <c r="B22" s="82" t="n"/>
      <c r="C22" s="81" t="n"/>
      <c r="D22" s="81" t="n"/>
      <c r="E22" s="25" t="n"/>
      <c r="F22" s="25" t="n"/>
    </row>
    <row r="23" ht="36" customHeight="1" s="69">
      <c r="A23" s="25" t="n"/>
      <c r="B23" s="83" t="n"/>
      <c r="C23" s="81" t="n"/>
      <c r="D23" s="81" t="n"/>
      <c r="E23" s="25" t="n"/>
      <c r="F23" s="25" t="n"/>
    </row>
    <row r="24" ht="36" customHeight="1" s="69">
      <c r="A24" s="25" t="n"/>
      <c r="B24" s="82" t="n"/>
      <c r="C24" s="81" t="n"/>
      <c r="D24" s="81" t="n"/>
      <c r="E24" s="25" t="n"/>
      <c r="F24" s="25" t="n"/>
    </row>
    <row r="25" ht="48" customHeight="1" s="69">
      <c r="A25" s="25" t="n"/>
      <c r="B25" s="82" t="n"/>
      <c r="C25" s="81" t="n"/>
      <c r="D25" s="81" t="n"/>
      <c r="E25" s="25" t="n"/>
      <c r="F25" s="25" t="n"/>
    </row>
    <row r="26">
      <c r="A26" s="25" t="n"/>
      <c r="B26" s="82" t="n"/>
      <c r="C26" s="81" t="n"/>
      <c r="D26" s="81" t="n"/>
      <c r="E26" s="25" t="n"/>
      <c r="F26" s="25" t="n"/>
    </row>
    <row r="27">
      <c r="A27" s="25" t="n"/>
      <c r="B27" s="83" t="n"/>
      <c r="C27" s="81" t="n"/>
      <c r="D27" s="81" t="n"/>
      <c r="E27" s="25" t="n"/>
      <c r="F27" s="25" t="n"/>
    </row>
    <row r="28">
      <c r="A28" s="26" t="n"/>
      <c r="B28" s="85" t="n"/>
      <c r="C28" s="84" t="n"/>
      <c r="D28" s="84" t="n"/>
      <c r="E28" s="26" t="n"/>
      <c r="F28" s="26" t="n"/>
    </row>
    <row r="29" ht="24" customHeight="1" s="69">
      <c r="A29" s="24" t="inlineStr">
        <is>
          <t>1.2</t>
        </is>
      </c>
      <c r="B29" s="80" t="inlineStr">
        <is>
          <t>Isporuka i ugradnja sistema sidrenja nosive konstrukcije iz Tačke 1.1 u stijenu/beton, hemijskim (epoksidnim) ankerima.
 - tip: hemijski (epoksidni/vinilesterski) anker M16 ili M20 sa ETA odobrenjem za ugradnju u beton i/ili stijenu, vruće cinčan ili nehrđajući A4
 - broj: najmanje 2 ankera po temeljnoj traci, odnosno 4 ankera po nosaču (minimum 2 po traci zbog redundanse)
 - nosivost: karakteristična sila čupanja ≥30 kN po ankeru; dubina ugradnje prema ETA za konkretnu podlogu. Ukupna projektna sila podizanja po nosaču ≥18,1 kN (GSN); sila po traci od momenta prevrtanja ≥39,3 kN pri razmaku traka 1600 mm (v. proračun F.6)
 - dokazivanje: ispitivanje čupanjem (pull-out test) na najmanje 10 % ugrađenih ankera, minimalno 2 po nosaču, do 1,5 × projektne sile, uz zapisnik ovjeren od nadzornog organa
 - alternativa: livena U-anker sidra M16, dužine 320 mm, razmaka krakova 180 mm, sa pločama 50×50 mm i dvostrukim maticama, dozvoljena su SAMO uz gravitacioni temelj zapremine ≥0,75 m³ po nosaču (tendovano 0,81 m³ po nosaču, v. Tačku 2.3) — momenat prevrtanja i dalje zahtijeva provjeru lokalnog istezanja trake, ne samo ukupne mase</t>
        </is>
      </c>
      <c r="C29" s="79" t="inlineStr">
        <is>
          <t>kpl</t>
        </is>
      </c>
      <c r="D29" s="79" t="n">
        <v>3</v>
      </c>
      <c r="E29" s="27" t="n"/>
      <c r="F29" s="27">
        <f>IF(AND(D29&lt;&gt;"",E29&lt;&gt;""),D29*E29,"")</f>
        <v/>
      </c>
    </row>
    <row r="30" ht="24" customHeight="1" s="69">
      <c r="A30" s="28" t="n"/>
      <c r="B30" s="82" t="n"/>
      <c r="C30" s="86" t="n"/>
      <c r="D30" s="86" t="n"/>
      <c r="E30" s="29" t="n"/>
      <c r="F30" s="29" t="n"/>
    </row>
    <row r="31" ht="24" customHeight="1" s="69">
      <c r="A31" s="38" t="n"/>
      <c r="B31" s="88" t="n"/>
      <c r="C31" s="87" t="n"/>
      <c r="D31" s="87" t="n"/>
      <c r="E31" s="39" t="n"/>
      <c r="F31" s="39" t="n"/>
    </row>
    <row r="32" ht="24" customHeight="1" s="69">
      <c r="A32" s="40" t="inlineStr">
        <is>
          <t>1.3</t>
        </is>
      </c>
      <c r="B32" s="90" t="inlineStr">
        <is>
          <t>Statički proračun nosive konstrukcije i temelja, ovjeren i potpisan od strane ovlaštenog inženjera.
 - dokaz otpornosti na pritisak vjetra qp ≥ 1,20 kN/m² pri nagibu 45°, prema BAS EN 1991-1-4 sa BiH nacionalnim aneksom, uključujući orografiju
 - dokaz na opterećenje snijegom prema BAS EN 1991-1-3 i na radijalni led 20 mm gustine 300 kg/m³
 - dokaz sigurnosti na podizanje (uplift) i prevrtanje prema EN 1990 (γQ,dst = 1,5; γG,stb = 0,9)
 - dimenzionisanje temelja i sidrenja prema stvarnim geotehničkim uslovima (kamenito tlo), uz navođenje dubine smrzavanja za lokalitet
NAPOMENA: proračun se dostavlja UZ PONUDU kao uslov kvalifikacije (Prilog I, Tačka 4), a NE nakon dodjele ugovora.</t>
        </is>
      </c>
      <c r="C32" s="89" t="inlineStr">
        <is>
          <t>kpl</t>
        </is>
      </c>
      <c r="D32" s="89" t="n">
        <v>1</v>
      </c>
      <c r="E32" s="41" t="n"/>
      <c r="F32" s="41">
        <f>IF(AND(D32&lt;&gt;"",E32&lt;&gt;""),D32*E32,"")</f>
        <v/>
      </c>
    </row>
    <row r="33" ht="36" customHeight="1" s="69">
      <c r="A33" s="40" t="inlineStr">
        <is>
          <t>1.4</t>
        </is>
      </c>
      <c r="B33" s="90" t="inlineStr">
        <is>
          <t>Uzemljenje nosivih konstrukcija: povezivanje obje konstrukcije na postojeći prstenasti uzemljivač lokacije bakarnim užetom presjeka 50 mm² sa izolacijom otpornom na UV zračenje i ukopavanje, preko priključnih stezaljki na konstrukciji i bimetalnih (Cu/Fe-Zn) ukrsnih komada radi sprječavanja galvanske korozije. Presjek prema EN 62305-3, Tabela 7, za odvođenje atmosferskog pražnjenja. Kontinuitet svih spojeva ≤0,1 Ω, ukupni otpor uzemljenja ≤10 Ω. DC kablovi se polažu na razmaku ≥0,5 m od odvoda gromobranske instalacije (Huawei §4.1.3).</t>
        </is>
      </c>
      <c r="C33" s="89" t="inlineStr">
        <is>
          <t>kpl</t>
        </is>
      </c>
      <c r="D33" s="89" t="n">
        <v>3</v>
      </c>
      <c r="E33" s="41" t="n"/>
      <c r="F33" s="41">
        <f>IF(AND(D33&lt;&gt;"",E33&lt;&gt;""),D33*E33,"")</f>
        <v/>
      </c>
    </row>
    <row r="34" ht="36" customHeight="1" s="69">
      <c r="A34" s="40" t="inlineStr">
        <is>
          <t>1.5</t>
        </is>
      </c>
      <c r="B34" s="9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25 m iznosi 0,78 %. 3 nosača × 2 × 25,00 m</t>
        </is>
      </c>
      <c r="C34" s="89" t="inlineStr">
        <is>
          <t>m</t>
        </is>
      </c>
      <c r="D34" s="89" t="n">
        <v>150</v>
      </c>
      <c r="E34" s="41" t="n"/>
      <c r="F34" s="41">
        <f>IF(AND(D34&lt;&gt;"",E34&lt;&gt;""),D34*E34,"")</f>
        <v/>
      </c>
    </row>
    <row r="35" ht="24" customHeight="1" s="69">
      <c r="A35" s="40" t="inlineStr">
        <is>
          <t>1.6</t>
        </is>
      </c>
      <c r="B35" s="91" t="inlineStr">
        <is>
          <t>Isporuka i montaža PVDB ormara za PV panele sa DC rastavljačem i osiguračima za svaki string, stepen zaštite min. IP55, kao Huawei PVDB500-15-2B (01075918) ili ekvivalent (100–500 V DC, maks. 15 A po izvodu, 2 izvoda). NAPOMENA: navedeni ormar NE sadrži odvodnik prenapona — DC odvodnik se isporučuje kao zasebna Tačka 1.6a.</t>
        </is>
      </c>
      <c r="C35" s="89" t="inlineStr">
        <is>
          <t>kpl</t>
        </is>
      </c>
      <c r="D35" s="89" t="n">
        <v>1</v>
      </c>
      <c r="E35" s="41" t="n"/>
      <c r="F35" s="41">
        <f>IF(AND(D35&lt;&gt;"",E35&lt;&gt;""),D35*E35,"")</f>
        <v/>
      </c>
    </row>
    <row r="36" ht="24" customHeight="1" s="69">
      <c r="A36" s="40" t="inlineStr">
        <is>
          <t>1.6a</t>
        </is>
      </c>
      <c r="B36" s="91" t="inlineStr">
        <is>
          <t>Isporuka i ugradnja odvodnika prenapona DC, tip 2 (Iimp ≥5 kA, Ucpv ≥425 V), za svaki string, sa pripadajućim rastavnim osiguračima, u PVDB ormaru iz Tačke 1.6 ili u zasebnom kućištu min. IP55. Po jedan komplet uz svako od tri polja panela (v. Tačku 1.1) zbog dužine DC trase od 25 m; PV-1 i PV-2 se spajaju paralelno prije PVDB rute 1, PV-3 ide samostalno na rutu 2 (v. crtež E-01).</t>
        </is>
      </c>
      <c r="C36" s="89" t="inlineStr">
        <is>
          <t>kpl</t>
        </is>
      </c>
      <c r="D36" s="89" t="n">
        <v>3</v>
      </c>
      <c r="E36" s="41" t="n"/>
      <c r="F36" s="41">
        <f>IF(AND(D36&lt;&gt;"",E36&lt;&gt;""),D36*E36,"")</f>
        <v/>
      </c>
    </row>
    <row r="37">
      <c r="A37" s="40" t="inlineStr">
        <is>
          <t>1.7</t>
        </is>
      </c>
      <c r="B37" s="97" t="inlineStr">
        <is>
          <t>Dokumentacija izvedenog stanja za LOT 1: kataloška dokumentacija nosača sa tehničkim crtežima, statički proračun, atesti materijala i vrućeg cinčanja, garantni list.</t>
        </is>
      </c>
      <c r="C37" t="inlineStr">
        <is>
          <t>kpl</t>
        </is>
      </c>
      <c r="D37" t="n">
        <v>1</v>
      </c>
      <c r="F37" s="41">
        <f>IF(AND(D37&lt;&gt;"",E37&lt;&gt;""),D37*E37,"")</f>
        <v/>
      </c>
    </row>
    <row r="38">
      <c r="A38" s="92" t="inlineStr">
        <is>
          <t>UKUPNO 1 — NOSAČI ZA FOTONAPONSKE PANELE:</t>
        </is>
      </c>
      <c r="B38" s="93" t="n"/>
      <c r="C38" s="93" t="n"/>
      <c r="D38" s="93" t="n"/>
      <c r="E38" s="94" t="n"/>
      <c r="F38" s="67">
        <f>SUM(F12:F37)</f>
        <v/>
      </c>
    </row>
    <row r="40" ht="24" customHeight="1" s="69">
      <c r="A40" s="3" t="inlineStr">
        <is>
          <t>2</t>
        </is>
      </c>
      <c r="B40" s="4" t="inlineStr">
        <is>
          <t>GRAĐEVINSKI RADOVI</t>
        </is>
      </c>
      <c r="C40" s="5" t="n"/>
      <c r="D40" s="5" t="n"/>
      <c r="E40" s="5" t="n"/>
      <c r="F40" s="5" t="n"/>
    </row>
    <row r="41" ht="24" customHeight="1" s="69">
      <c r="A41" s="6" t="inlineStr">
        <is>
          <t>2.1</t>
        </is>
      </c>
      <c r="B41" s="77" t="inlineStr">
        <is>
          <t>Iskop zemlje IV-V kategorije za temeljne trake nosača. Iskop cca 1,59 m3 za svaku temeljnu traku. 3 nosača × 2 trake × 1,59 m3</t>
        </is>
      </c>
      <c r="C41" s="76" t="inlineStr">
        <is>
          <t>m3</t>
        </is>
      </c>
      <c r="D41" s="76" t="n">
        <v>9.539999999999999</v>
      </c>
      <c r="E41" s="8" t="n"/>
      <c r="F41" s="8">
        <f>IF(AND(D41&lt;&gt;"",E41&lt;&gt;""),D41*E41,"")</f>
        <v/>
      </c>
    </row>
    <row r="42">
      <c r="A42" s="6" t="inlineStr">
        <is>
          <t>2.2</t>
        </is>
      </c>
      <c r="B42" s="78" t="inlineStr">
        <is>
          <t>Zatrpavanje rova zemljom od iskopa uz nabijanje u slojevima. 3 nosača × 2 trake × 1,10 m3</t>
        </is>
      </c>
      <c r="C42" s="76" t="inlineStr">
        <is>
          <t>m3</t>
        </is>
      </c>
      <c r="D42" s="76" t="n">
        <v>6.6</v>
      </c>
      <c r="E42" s="8" t="n"/>
      <c r="F42" s="8">
        <f>IF(AND(D42&lt;&gt;"",E42&lt;&gt;""),D42*E42,"")</f>
        <v/>
      </c>
    </row>
    <row r="43" ht="24" customHeight="1" s="69">
      <c r="A43" s="6" t="inlineStr">
        <is>
          <t>2.2a</t>
        </is>
      </c>
      <c r="B43" s="77" t="inlineStr">
        <is>
          <t>Odvoz i zbrinjavanje viška materijala od iskopa do deponije udaljene do 20 km.</t>
        </is>
      </c>
      <c r="C43" s="76" t="inlineStr">
        <is>
          <t>m3</t>
        </is>
      </c>
      <c r="D43" s="76" t="n">
        <v>2.94</v>
      </c>
      <c r="E43" s="8" t="n"/>
      <c r="F43" s="8">
        <f>IF(AND(D43&lt;&gt;"",E43&lt;&gt;""),D43*E43,"")</f>
        <v/>
      </c>
    </row>
    <row r="44" ht="156" customHeight="1" s="69">
      <c r="A44" s="6" t="inlineStr">
        <is>
          <t>2.2b</t>
        </is>
      </c>
      <c r="B44" s="77" t="inlineStr">
        <is>
          <t>Nabavka materijala, transport i ugradnja betona C10 ispod temeljnih traka, prema zahtjevima proizvođača. 3 nosača × 2 trake × 0,094 m3</t>
        </is>
      </c>
      <c r="C44" s="76" t="inlineStr">
        <is>
          <t>m3</t>
        </is>
      </c>
      <c r="D44" s="76" t="n">
        <v>0.5600000000000001</v>
      </c>
      <c r="E44" s="8" t="n"/>
      <c r="F44" s="8">
        <f>IF(AND(D44&lt;&gt;"",E44&lt;&gt;""),D44*E44,"")</f>
        <v/>
      </c>
    </row>
    <row r="45" ht="24" customHeight="1" s="69">
      <c r="A45" s="6" t="inlineStr">
        <is>
          <t>2.3</t>
        </is>
      </c>
      <c r="B45" s="77" t="inlineStr">
        <is>
          <t>Nabavka materijala, transport i betoniranje DVIJE temeljne trake po nosaču, betonom C25, uz upotrebu oplate za nadzemni dio. Traka je širine 450 mm (550 mm u dnu), dužine 3300 mm i dubine 900 mm, postavljena u pravcu SJEVER-JUG (u pravcu nagiba panela), na osovinskom razmaku 1600 mm, sve prema nacrtu proizvođača nosača. Armiranje rebrastom armaturom Ø10, granica razvlačenja 335 MPa, prema specifikaciji proizvođača (poz. R01–R04, cca 19,53 kg po traci, ukupno cca 78 kg), zaštitni sloj betona 50 mm — što ulazi u cijenu betona. Prije betoniranja pravilno pozicionirati anker vijke iz Tačke 1.2 (vezani za armaturu poz. R04), uzemljivačku traku i PEHD cijevi. Ugradnja betona pervibratorom, njega betona vlaženjem najmanje 3 dana, dozvoljeno odstupanje ±3 mm. NAPOMENA: nosivost tla ispod temelja (fak) mora iznositi najmanje 100 kPa, a osnovna brzina vjetra za nagib 45° iznosi 31 m/s (3 s udar). Proizvođač izričito zahtijeva da se za lokacije na planinskim vrhovima projekat temelja ponovo provjeri i prilagodi. 3 nosača × 2 trake × 0,407 m3.  Obračun po ostvarenom m3 betona.
IZMJENA — BETON I ARMATURA: beton klase C30/37, klase izloženosti XC4 + XF3 prema BAS EN 206, sa aerantom 4–6 %, Dmax 16, konzistencija S3; podložni beton C12/15 d=50 mm; armatura B500B, zaštitni sloj ≥50 mm. Klasa XF3 je mjerodavna zbog cikličnog smrzavanja i odmrzavanja u vlažnom stanju na 1076 m n.v. Temeljna spojnica mora biti ispod dubine smrzavanja za lokalitet, koju Ponuđač navodi u ponudi. Dubina trake prema ovjerenom statičkom proračunu iz Tačke 1.3.</t>
        </is>
      </c>
      <c r="C45" s="76" t="inlineStr">
        <is>
          <t>m3</t>
        </is>
      </c>
      <c r="D45" s="76" t="n">
        <v>2.44</v>
      </c>
      <c r="E45" s="8" t="n"/>
      <c r="F45" s="8">
        <f>IF(AND(D45&lt;&gt;"",E45&lt;&gt;""),D45*E45,"")</f>
        <v/>
      </c>
    </row>
    <row r="46" s="69">
      <c r="A46" s="6" t="inlineStr">
        <is>
          <t>2.4</t>
        </is>
      </c>
      <c r="B46" s="97" t="inlineStr">
        <is>
          <t>Obrada vidljivih strana i gornje površine temeljnih traka cementnim malterom u nagibu 1,0 %, zaglađeno do crnog sjaja.</t>
        </is>
      </c>
      <c r="C46" t="inlineStr">
        <is>
          <t>m2</t>
        </is>
      </c>
      <c r="D46" t="n">
        <v>12</v>
      </c>
      <c r="F46" s="8">
        <f>IF(AND(D46&lt;&gt;"",E46&lt;&gt;""),D46*E46,"")</f>
        <v/>
      </c>
    </row>
    <row r="47" s="69">
      <c r="A47" s="6" t="inlineStr">
        <is>
          <t>2.5</t>
        </is>
      </c>
      <c r="B47" s="78" t="inlineStr">
        <is>
          <t>Ostali sitni građevinski i potrošni materijal.</t>
        </is>
      </c>
      <c r="C47" s="76" t="inlineStr">
        <is>
          <t>paušal</t>
        </is>
      </c>
      <c r="D47" s="76" t="n">
        <v>1</v>
      </c>
      <c r="E47" s="8" t="n"/>
      <c r="F47" s="8">
        <f>IF(AND(D47&lt;&gt;"",E47&lt;&gt;""),D47*E47,"")</f>
        <v/>
      </c>
    </row>
    <row r="48" s="69">
      <c r="A48" s="15" t="inlineStr">
        <is>
          <t>UKUPNO 2 — GRAĐEVINSKI RADOVI ZA NOSAČE FN PANELA:</t>
        </is>
      </c>
      <c r="B48" s="16" t="n"/>
      <c r="C48" s="16" t="n"/>
      <c r="D48" s="16" t="n"/>
      <c r="E48" s="17" t="n"/>
      <c r="F48" s="10">
        <f>SUM(F41:F47)</f>
        <v/>
      </c>
    </row>
    <row r="49" s="69"/>
    <row r="50">
      <c r="A50" s="95" t="inlineStr">
        <is>
          <t>UKUPNO LOT 1 — NOSAČI ZA FOTONAPONSKE PANELE (bez PDV-a):</t>
        </is>
      </c>
      <c r="B50" s="16" t="n"/>
      <c r="C50" s="16" t="n"/>
      <c r="D50" s="17" t="n"/>
      <c r="E50" s="17" t="n"/>
      <c r="F50" s="11">
        <f>F38+F48</f>
        <v/>
      </c>
    </row>
    <row r="51"/>
    <row r="52">
      <c r="A52" s="98" t="inlineStr">
        <is>
          <t>REKAPITULACIJA — LOT 1</t>
        </is>
      </c>
      <c r="B52" s="103" t="n"/>
      <c r="C52" s="103" t="n"/>
      <c r="D52" s="103" t="n"/>
      <c r="E52" s="104" t="n"/>
      <c r="F52" s="100" t="n"/>
    </row>
    <row r="53">
      <c r="A53" s="101" t="inlineStr">
        <is>
          <t>UKUPNO LOT 1 (bez PDV-a):</t>
        </is>
      </c>
      <c r="B53" s="103" t="n"/>
      <c r="C53" s="103" t="n"/>
      <c r="D53" s="103" t="n"/>
      <c r="E53" s="104" t="n"/>
      <c r="F53" s="102">
        <f>F50</f>
        <v/>
      </c>
    </row>
    <row r="54">
      <c r="A54" s="101" t="inlineStr">
        <is>
          <t>Popust (%):</t>
        </is>
      </c>
      <c r="B54" s="103" t="n"/>
      <c r="C54" s="103" t="n"/>
      <c r="D54" s="103" t="n"/>
      <c r="E54" s="104" t="n"/>
      <c r="F54" s="102" t="n"/>
    </row>
    <row r="55">
      <c r="A55" s="101" t="inlineStr">
        <is>
          <t>UKUPNO LOT 1 sa popustom (bez PDV-a):</t>
        </is>
      </c>
      <c r="B55" s="103" t="n"/>
      <c r="C55" s="103" t="n"/>
      <c r="D55" s="103" t="n"/>
      <c r="E55" s="104" t="n"/>
      <c r="F55" s="102">
        <f>F53*(1-IF(F54="",0,F54/100))</f>
        <v/>
      </c>
    </row>
    <row r="56">
      <c r="A56" s="101" t="inlineStr">
        <is>
          <t>PDV 17%:</t>
        </is>
      </c>
      <c r="B56" s="103" t="n"/>
      <c r="C56" s="103" t="n"/>
      <c r="D56" s="103" t="n"/>
      <c r="E56" s="104" t="n"/>
      <c r="F56" s="102">
        <f>F55*0.17</f>
        <v/>
      </c>
    </row>
    <row r="57" ht="24" customHeight="1" s="69">
      <c r="A57" s="98" t="inlineStr">
        <is>
          <t>UKUPNO LOT 1 sa PDV-om:</t>
        </is>
      </c>
      <c r="B57" s="103" t="n"/>
      <c r="C57" s="103" t="n"/>
      <c r="D57" s="103" t="n"/>
      <c r="E57" s="104" t="n"/>
      <c r="F57" s="100">
        <f>F55+F56</f>
        <v/>
      </c>
    </row>
    <row r="58"/>
    <row r="59" ht="24" customHeight="1" s="69"/>
    <row r="83" ht="24" customHeight="1" s="69"/>
    <row r="84" ht="24" customHeight="1" s="69"/>
    <row r="86" ht="24" customHeight="1" s="69"/>
    <row r="90" ht="24" customHeight="1" s="69"/>
    <row r="91" ht="36" customHeight="1" s="69"/>
    <row r="98"/>
    <row r="101" ht="24" customHeight="1" s="69"/>
    <row r="102" ht="24" customHeight="1" s="69"/>
    <row r="103" ht="24" customHeight="1" s="69"/>
    <row r="107" ht="24" customHeight="1" s="69"/>
    <row r="108" ht="24" customHeight="1" s="69"/>
    <row r="110" ht="24" customHeight="1" s="69"/>
    <row r="112" ht="24" customHeight="1" s="69"/>
    <row r="114" ht="24" customHeight="1" s="69"/>
    <row r="117" ht="36" customHeight="1" s="69"/>
    <row r="118" ht="24" customHeight="1" s="69"/>
    <row r="119" ht="84" customHeight="1" s="69"/>
    <row r="120" ht="24" customHeight="1" s="69"/>
    <row r="121" ht="24" customHeight="1" s="69"/>
    <row r="122" ht="24" customHeight="1" s="69"/>
    <row r="123" ht="24" customHeight="1" s="69"/>
    <row r="124" ht="48" customHeight="1" s="69"/>
    <row r="126" ht="36" customHeight="1" s="69"/>
    <row r="128" ht="24" customHeight="1" s="69"/>
    <row r="129" ht="24" customHeight="1" s="69"/>
    <row r="130" ht="48" customHeight="1" s="69"/>
    <row r="131" ht="24" customHeight="1" s="69"/>
    <row r="133" ht="36" customHeight="1" s="69"/>
    <row r="134"/>
    <row r="137" ht="24" customHeight="1" s="69"/>
    <row r="138" ht="24" customHeight="1" s="69"/>
    <row r="139" ht="36" customHeight="1" s="69"/>
    <row r="140" ht="24" customHeight="1" s="69"/>
    <row r="145" ht="36" customHeight="1" s="69"/>
    <row r="146" ht="36" customHeight="1" s="69"/>
    <row r="147" ht="36" customHeight="1" s="69"/>
    <row r="149" ht="24" customHeight="1" s="69"/>
    <row r="150" ht="24" customHeight="1" s="69"/>
    <row r="152" ht="24" customHeight="1" s="69"/>
    <row r="158" ht="48" customHeight="1" s="69"/>
    <row r="159" ht="24" customHeight="1" s="69"/>
    <row r="160" ht="48" customHeight="1" s="69"/>
    <row r="162"/>
    <row r="165" ht="36" customHeight="1" s="69"/>
    <row r="166" ht="24" customHeight="1" s="69"/>
    <row r="167" ht="36" customHeight="1" s="69"/>
    <row r="169" ht="24" customHeight="1" s="69"/>
    <row r="170"/>
    <row r="172"/>
    <row r="174"/>
    <row r="177"/>
    <row r="178"/>
    <row r="179"/>
    <row r="180"/>
    <row r="181"/>
    <row r="183"/>
    <row r="184"/>
    <row r="185"/>
    <row r="186"/>
    <row r="187"/>
    <row r="188"/>
    <row r="189"/>
    <row r="190"/>
  </sheetData>
  <mergeCells count="29">
    <mergeCell ref="A174:F174"/>
    <mergeCell ref="A183:F183"/>
    <mergeCell ref="A98:E98"/>
    <mergeCell ref="A189:F189"/>
    <mergeCell ref="A49:E49"/>
    <mergeCell ref="A178:E178"/>
    <mergeCell ref="A3:F3"/>
    <mergeCell ref="A162:E162"/>
    <mergeCell ref="A2:F2"/>
    <mergeCell ref="A172:E172"/>
    <mergeCell ref="A54:E54"/>
    <mergeCell ref="A185:F185"/>
    <mergeCell ref="A177:E177"/>
    <mergeCell ref="A188:F188"/>
    <mergeCell ref="A51:D51"/>
    <mergeCell ref="A184:F184"/>
    <mergeCell ref="A56:E56"/>
    <mergeCell ref="A190:F190"/>
    <mergeCell ref="A55:E55"/>
    <mergeCell ref="A57:E57"/>
    <mergeCell ref="A179:E179"/>
    <mergeCell ref="A181:E181"/>
    <mergeCell ref="A186:F186"/>
    <mergeCell ref="A53:E53"/>
    <mergeCell ref="A180:E180"/>
    <mergeCell ref="A134:E134"/>
    <mergeCell ref="A170:E170"/>
    <mergeCell ref="A58:E58"/>
    <mergeCell ref="A187:F187"/>
  </mergeCells>
  <printOptions horizontalCentered="1"/>
  <pageMargins left="0.75" right="0.75" top="1" bottom="1" header="0.5" footer="0.5"/>
  <pageSetup orientation="landscape"/>
  <headerFooter>
    <oddHeader>&amp;R&amp;"Times New Roman,Regular"&amp;12&amp;K000000 &amp;"Arial,Regular"&amp;10 &amp;K000000[BH Telecom | &amp;BInterno&amp;B]</oddHeader>
    <oddFooter/>
    <evenHeader>&amp;R&amp;"Times New Roman,Regular"&amp;12&amp;K000000 &amp;"Arial,Regular"&amp;10 &amp;K000000[BH Telecom | &amp;BInterno&amp;B]</evenHeader>
    <evenFooter/>
    <firstHeader>&amp;R&amp;"Times New Roman,Regular"&amp;12&amp;K000000 &amp;"Arial,Regular"&amp;10 &amp;K000000[BH Telecom | &amp;BInterno&amp;B]</firstHeader>
    <firstFooter/>
  </headerFooter>
</worksheet>
</file>

<file path=xl/worksheets/sheet2.xml><?xml version="1.0" encoding="utf-8"?>
<worksheet xmlns="http://schemas.openxmlformats.org/spreadsheetml/2006/main">
  <sheetPr>
    <outlinePr summaryBelow="1" summaryRight="1"/>
    <pageSetUpPr autoPageBreaks="0"/>
  </sheetPr>
  <dimension ref="A1:F149"/>
  <sheetViews>
    <sheetView tabSelected="1" topLeftCell="A49" zoomScale="130" zoomScaleNormal="130" workbookViewId="0">
      <selection activeCell="B59" sqref="B59"/>
    </sheetView>
  </sheetViews>
  <sheetFormatPr baseColWidth="8" defaultRowHeight="15"/>
  <cols>
    <col width="4.7109375" customWidth="1" style="69" min="1" max="1"/>
    <col width="111.7109375" bestFit="1" customWidth="1" style="69" min="2" max="2"/>
    <col width="6.42578125" bestFit="1" customWidth="1" style="69" min="3" max="3"/>
    <col width="7.42578125" bestFit="1" customWidth="1" style="69" min="4" max="4"/>
    <col width="18.7109375" customWidth="1" style="69" min="5" max="5"/>
    <col width="19" customWidth="1" style="69" min="6" max="6"/>
  </cols>
  <sheetData>
    <row r="1">
      <c r="A1" s="68" t="inlineStr">
        <is>
          <t>PRILOG II TD</t>
        </is>
      </c>
    </row>
    <row r="2">
      <c r="A2" s="51" t="inlineStr">
        <is>
          <t>OBRAZAC ZA CIJENU PONUDE - LOT 2</t>
        </is>
      </c>
    </row>
    <row r="3">
      <c r="A3" s="51" t="inlineStr">
        <is>
          <t>INFRASTRUKTURA I INSTALACIJA OPREME ZA AUTONOMNI HIBRIDNI SISTEM NAPAJANJA SJEDNICA, BILEĆA (LOT 2)</t>
        </is>
      </c>
    </row>
    <row r="5">
      <c r="B5" s="1" t="inlineStr">
        <is>
          <t>Naziv Ponuđača:       __________________________________</t>
        </is>
      </c>
    </row>
    <row r="6">
      <c r="B6" s="1" t="inlineStr">
        <is>
          <t>Ponuda br.:              __________________________________</t>
        </is>
      </c>
    </row>
    <row r="8">
      <c r="A8" s="43" t="inlineStr">
        <is>
          <t>1</t>
        </is>
      </c>
      <c r="B8" s="44" t="inlineStr">
        <is>
          <t>2</t>
        </is>
      </c>
      <c r="C8" s="45" t="inlineStr">
        <is>
          <t>3</t>
        </is>
      </c>
      <c r="D8" s="45" t="inlineStr">
        <is>
          <t>4</t>
        </is>
      </c>
      <c r="E8" s="45" t="inlineStr">
        <is>
          <t>5</t>
        </is>
      </c>
      <c r="F8" s="46" t="inlineStr">
        <is>
          <t>6</t>
        </is>
      </c>
    </row>
    <row r="9" ht="24" customHeight="1" s="69">
      <c r="A9" s="47" t="inlineStr">
        <is>
          <t>r.br.</t>
        </is>
      </c>
      <c r="B9" s="48" t="inlineStr">
        <is>
          <t>Opis stavke</t>
        </is>
      </c>
      <c r="C9" s="49" t="inlineStr">
        <is>
          <t>Jed. mjere</t>
        </is>
      </c>
      <c r="D9" s="49" t="inlineStr">
        <is>
          <t>Količina</t>
        </is>
      </c>
      <c r="E9" s="49" t="inlineStr">
        <is>
          <t>Jed. cijena u KM bez PDV-a</t>
        </is>
      </c>
      <c r="F9" s="50" t="inlineStr">
        <is>
          <t>Ukupna cijena u KM bez PDV-a  6=(4x5)</t>
        </is>
      </c>
    </row>
    <row r="10">
      <c r="A10" s="71" t="n"/>
      <c r="B10" s="71" t="inlineStr">
        <is>
          <t>LOT 2 - INSTALACIJA AGREGATSKOG POSTROJENJA ZA HIBRIDNI SISTEM NAPAJANJA</t>
        </is>
      </c>
      <c r="C10" s="72" t="n"/>
      <c r="D10" s="72" t="n"/>
      <c r="E10" s="72" t="n"/>
      <c r="F10" s="73" t="n"/>
    </row>
    <row r="11">
      <c r="A11" s="3" t="n">
        <v>1</v>
      </c>
      <c r="B11" s="4" t="inlineStr">
        <is>
          <t>AUTOMATSKI DIZEL ELEKTRIČNI AGREGAT (DEA)</t>
        </is>
      </c>
      <c r="C11" s="5" t="n"/>
      <c r="D11" s="5" t="n"/>
      <c r="E11" s="5" t="n"/>
      <c r="F11" s="5" t="n"/>
    </row>
    <row r="12">
      <c r="A12" s="6" t="n">
        <v>1.1</v>
      </c>
      <c r="B12" s="7" t="inlineStr">
        <is>
          <t>Isporuka automatskog DEA karakteristika:</t>
        </is>
      </c>
      <c r="C12" s="6" t="inlineStr">
        <is>
          <t>kpl</t>
        </is>
      </c>
      <c r="D12" s="6" t="n">
        <v>1</v>
      </c>
      <c r="E12" s="8" t="n"/>
      <c r="F12" s="8">
        <f>IF(AND(D12&lt;&gt;"",E12&lt;&gt;""),D12*E12,"")</f>
        <v/>
      </c>
    </row>
    <row r="13">
      <c r="A13" s="9" t="n"/>
      <c r="B13" s="63" t="inlineStr">
        <is>
          <t xml:space="preserve"> - snaga 22 kVA / 17,6 kW (±5%) pri cosφ=0,8, režim rada Stand-by (ISO 8528-3)</t>
        </is>
      </c>
      <c r="C13" s="9" t="n"/>
      <c r="D13" s="9" t="n"/>
      <c r="E13" s="9" t="n"/>
      <c r="F13" s="9" t="n"/>
    </row>
    <row r="14">
      <c r="A14" s="9" t="n"/>
      <c r="B14" s="63" t="inlineStr">
        <is>
          <t xml:space="preserve">   kao FG Wilson P22-6 ili ekvivalent</t>
        </is>
      </c>
      <c r="C14" s="9" t="n"/>
      <c r="D14" s="9" t="n"/>
      <c r="E14" s="9" t="n"/>
      <c r="F14" s="9" t="n"/>
    </row>
    <row r="15">
      <c r="A15" s="9" t="n"/>
      <c r="B15" s="7" t="inlineStr">
        <is>
          <t xml:space="preserve"> - DEA mora imati pouzdan start i rad pri niskim temperaturama do -20 °C</t>
        </is>
      </c>
      <c r="C15" s="9" t="n"/>
      <c r="D15" s="9" t="n"/>
      <c r="E15" s="9" t="n"/>
      <c r="F15" s="9" t="n"/>
    </row>
    <row r="16" ht="24" customHeight="1" s="69">
      <c r="A16" s="9" t="n"/>
      <c r="B16" s="63" t="inlineStr">
        <is>
          <t xml:space="preserve"> - nominalna snaga prema ISO 3046 za nadmorsku visinu preko 1000 m (lokacija 1076 m n.v.); ponuđač je dužan prikazati derating snage za nadmorsku visinu i temperaturu</t>
        </is>
      </c>
      <c r="C16" s="9" t="n"/>
      <c r="D16" s="9" t="n"/>
      <c r="E16" s="9" t="n"/>
      <c r="F16" s="9" t="n"/>
    </row>
    <row r="17">
      <c r="A17" s="9" t="n"/>
      <c r="B17" s="7" t="inlineStr">
        <is>
          <t>Dizel motor (DM)</t>
        </is>
      </c>
      <c r="C17" s="9" t="n"/>
      <c r="D17" s="9" t="n"/>
      <c r="E17" s="9" t="n"/>
      <c r="F17" s="9" t="n"/>
    </row>
    <row r="18">
      <c r="A18" s="9" t="n"/>
      <c r="B18" s="7" t="inlineStr">
        <is>
          <t xml:space="preserve"> - proizvođač: Perkins, Cummins, Cat®, Deutz, John Deere</t>
        </is>
      </c>
      <c r="C18" s="9" t="n"/>
      <c r="D18" s="9" t="n"/>
      <c r="E18" s="9" t="n"/>
      <c r="F18" s="9" t="n"/>
    </row>
    <row r="19">
      <c r="A19" s="9" t="n"/>
      <c r="B19" s="7" t="inlineStr">
        <is>
          <t xml:space="preserve"> - vrsta: četverotaktni linijski DM sa direktnim ubrizgavanjem goriva, vodeno hlađen</t>
        </is>
      </c>
      <c r="C19" s="9" t="n"/>
      <c r="D19" s="9" t="n"/>
      <c r="E19" s="9" t="n"/>
      <c r="F19" s="9" t="n"/>
    </row>
    <row r="20">
      <c r="A20" s="9" t="n"/>
      <c r="B20" s="7" t="inlineStr">
        <is>
          <t xml:space="preserve"> - radni zapremina cca 2,2 l, mehanički regulator broja obrtaja</t>
        </is>
      </c>
      <c r="C20" s="9" t="n"/>
      <c r="D20" s="9" t="n"/>
      <c r="E20" s="9" t="n"/>
      <c r="F20" s="9" t="n"/>
    </row>
    <row r="21">
      <c r="A21" s="9" t="n"/>
      <c r="B21" s="7" t="inlineStr">
        <is>
          <t xml:space="preserve"> - gorivo: BAS EN 590</t>
        </is>
      </c>
      <c r="C21" s="9" t="n"/>
      <c r="D21" s="9" t="n"/>
      <c r="E21" s="9" t="n"/>
      <c r="F21" s="9" t="n"/>
    </row>
    <row r="22">
      <c r="A22" s="9" t="n"/>
      <c r="B22" s="7" t="inlineStr">
        <is>
          <t xml:space="preserve"> - pokretanje: elektropokretač 12 VDC; regulator brzine 1500 o/min</t>
        </is>
      </c>
      <c r="C22" s="9" t="n"/>
      <c r="D22" s="9" t="n"/>
      <c r="E22" s="9" t="n"/>
      <c r="F22" s="9" t="n"/>
    </row>
    <row r="23">
      <c r="A23" s="9" t="n"/>
      <c r="B23" s="7" t="inlineStr">
        <is>
          <t xml:space="preserve"> - senzor temperature rashladne tečnosti, senzor pritiska ulja, start/stop relej</t>
        </is>
      </c>
      <c r="C23" s="9" t="n"/>
      <c r="D23" s="9" t="n"/>
      <c r="E23" s="9" t="n"/>
      <c r="F23" s="9" t="n"/>
    </row>
    <row r="24">
      <c r="A24" s="9" t="n"/>
      <c r="B24" s="7" t="inlineStr">
        <is>
          <t xml:space="preserve"> - filter ulja, filter zraka, filter goriva</t>
        </is>
      </c>
      <c r="C24" s="9" t="n"/>
      <c r="D24" s="9" t="n"/>
      <c r="E24" s="9" t="n"/>
      <c r="F24" s="9" t="n"/>
    </row>
    <row r="25">
      <c r="A25" s="9" t="n"/>
      <c r="B25" s="7" t="inlineStr">
        <is>
          <t xml:space="preserve"> - dobavna pumpa goriva, samousisna, 12 VDC</t>
        </is>
      </c>
      <c r="C25" s="9" t="n"/>
      <c r="D25" s="9" t="n"/>
      <c r="E25" s="9" t="n"/>
      <c r="F25" s="9" t="n"/>
    </row>
    <row r="26">
      <c r="A26" s="9" t="n"/>
      <c r="B26" s="7" t="inlineStr">
        <is>
          <t xml:space="preserve"> - GRIJAČ RASHLADNE TEČNOSTI 230 V sa podesivim termostatom (obavezno — zimski rad)</t>
        </is>
      </c>
      <c r="C26" s="9" t="n"/>
      <c r="D26" s="9" t="n"/>
      <c r="E26" s="9" t="n"/>
      <c r="F26" s="9" t="n"/>
    </row>
    <row r="27">
      <c r="A27" s="9" t="n"/>
      <c r="B27" s="7" t="inlineStr">
        <is>
          <t xml:space="preserve">   kao Perkins 404D-22G1 ili ekvivalent</t>
        </is>
      </c>
      <c r="C27" s="9" t="n"/>
      <c r="D27" s="9" t="n"/>
      <c r="E27" s="9" t="n"/>
      <c r="F27" s="9" t="n"/>
    </row>
    <row r="28">
      <c r="A28" s="9" t="n"/>
      <c r="B28" s="7" t="inlineStr">
        <is>
          <t>Generator</t>
        </is>
      </c>
      <c r="C28" s="9" t="n"/>
      <c r="D28" s="9" t="n"/>
      <c r="E28" s="9" t="n"/>
      <c r="F28" s="9" t="n"/>
    </row>
    <row r="29">
      <c r="A29" s="9" t="n"/>
      <c r="B29" s="7" t="inlineStr">
        <is>
          <t xml:space="preserve"> - proizvođač: Stamford, Leroy-Somer, Mecc Alte, Marelli</t>
        </is>
      </c>
      <c r="C29" s="9" t="n"/>
      <c r="D29" s="9" t="n"/>
      <c r="E29" s="9" t="n"/>
      <c r="F29" s="9" t="n"/>
    </row>
    <row r="30">
      <c r="A30" s="9" t="n"/>
      <c r="B30" s="7" t="inlineStr">
        <is>
          <t xml:space="preserve"> - propisi: VDE 0530, IEC 60034-1; trofazni, sinhroni, samouzbudni, bezčetkični</t>
        </is>
      </c>
      <c r="C30" s="9" t="n"/>
      <c r="D30" s="9" t="n"/>
      <c r="E30" s="9" t="n"/>
      <c r="F30" s="9" t="n"/>
    </row>
    <row r="31">
      <c r="A31" s="9" t="n"/>
      <c r="B31" s="7" t="inlineStr">
        <is>
          <t xml:space="preserve"> - nazivna snaga 22 kVA uz cos φ = 0,8;  1500 o/min;  3×400/230 V;  50 Hz</t>
        </is>
      </c>
      <c r="C31" s="9" t="n"/>
      <c r="D31" s="9" t="n"/>
      <c r="E31" s="9" t="n"/>
      <c r="F31" s="9" t="n"/>
    </row>
    <row r="32">
      <c r="A32" s="9" t="n"/>
      <c r="B32" s="7" t="inlineStr">
        <is>
          <t xml:space="preserve"> - zaštita IP23, klasa izolacije H, AVR regulacija ±1%, THDv 5%
 - POBUDA (OBAVEZNO): nezavisni sistem pobude — PMG (permanentni magnet) ili AREP/AUX namotaj. Generator mora održavati struju kratkog spoja najmanje 3 × In (≈95 A pri 22 kVA / 400 V) u trajanju od najmanje 10 s, prema ISO 8528-3. NAPOMENA: standardna SHUNT pobuda NIJE prihvatljiva — kod nje se pri kvaru napon na stezaljkama uruši, pobuda nestaje i trajna struja kvara pada na ≈0,5 × In (16 A), što je ISPOD nazivne struje i ne može aktivirati nijednu prekostrujnu zaštitu. Ponuđač dostavlja podatak o trajnoj struji kratkog spoja iz tehničkog lista proizvođača.</t>
        </is>
      </c>
      <c r="C32" s="9" t="n"/>
      <c r="D32" s="9" t="n"/>
      <c r="E32" s="9" t="n"/>
      <c r="F32" s="9" t="n"/>
    </row>
    <row r="33">
      <c r="A33" s="9" t="n"/>
      <c r="B33" s="7" t="inlineStr">
        <is>
          <t xml:space="preserve"> - dozvoljena struja kratkog spoja 3×In u trajanju 10 s</t>
        </is>
      </c>
      <c r="C33" s="9" t="n"/>
      <c r="D33" s="9" t="n"/>
      <c r="E33" s="9" t="n"/>
      <c r="F33" s="9" t="n"/>
    </row>
    <row r="34">
      <c r="A34" s="9" t="n"/>
      <c r="B34" s="7" t="inlineStr">
        <is>
          <t xml:space="preserve">   kao Stamford BCI164C ili ekvivalent</t>
        </is>
      </c>
      <c r="C34" s="9" t="n"/>
      <c r="D34" s="9" t="n"/>
      <c r="E34" s="9" t="n"/>
      <c r="F34" s="9" t="n"/>
    </row>
    <row r="35">
      <c r="A35" s="9" t="n"/>
      <c r="B35" s="7" t="inlineStr">
        <is>
          <t>Komandni ormar agregata (KOA)</t>
        </is>
      </c>
      <c r="C35" s="9" t="n"/>
      <c r="D35" s="9" t="n"/>
      <c r="E35" s="9" t="n"/>
      <c r="F35" s="9" t="n"/>
    </row>
    <row r="36">
      <c r="A36" s="9" t="n"/>
      <c r="B36" s="7" t="inlineStr">
        <is>
          <t xml:space="preserve"> - limeni, zabravljen, mehaničke zaštite min. IP41, svi priključci odozdo</t>
        </is>
      </c>
      <c r="C36" s="9" t="n"/>
      <c r="D36" s="9" t="n"/>
      <c r="E36" s="9" t="n"/>
      <c r="F36" s="9" t="n"/>
    </row>
    <row r="37">
      <c r="A37" s="9" t="n"/>
      <c r="B37" s="7" t="inlineStr">
        <is>
          <t xml:space="preserve"> - sabirnice L1, L2, L3, N i PE (N i PE spojene samo na jednom mjestu)</t>
        </is>
      </c>
      <c r="C37" s="9" t="n"/>
      <c r="D37" s="9" t="n"/>
      <c r="E37" s="9" t="n"/>
      <c r="F37" s="9" t="n"/>
    </row>
    <row r="38">
      <c r="A38" s="9" t="n"/>
      <c r="B38" s="7" t="inlineStr">
        <is>
          <t xml:space="preserve"> - neovisan strujni krug za grijač dizel motora, servisna utičnica 230 V AC, rasvjeta KOA</t>
        </is>
      </c>
      <c r="C38" s="9" t="n"/>
      <c r="D38" s="9" t="n"/>
      <c r="E38" s="9" t="n"/>
      <c r="F38" s="9" t="n"/>
    </row>
    <row r="39">
      <c r="A39" s="9" t="n"/>
      <c r="B39" s="7" t="inlineStr">
        <is>
          <t>Komutacija i upravljanje — VAŽNO: LOKACIJA NIJE PRIKLJUČENA NA ELEKTROENERGETSKU MREŽU</t>
        </is>
      </c>
      <c r="C39" s="9" t="n"/>
      <c r="D39" s="9" t="n"/>
      <c r="E39" s="9" t="n"/>
      <c r="F39" s="9" t="n"/>
    </row>
    <row r="40">
      <c r="A40" s="9" t="n"/>
      <c r="B40" s="7" t="inlineStr">
        <is>
          <t xml:space="preserve"> - NE predviđa se mrežni sklopnik niti izbor izvora "mreža"; komutacija se izvodi između hibridnog sistema napajanja i agregata</t>
        </is>
      </c>
      <c r="C40" s="9" t="n"/>
      <c r="D40" s="9" t="n"/>
      <c r="E40" s="9" t="n"/>
      <c r="F40" s="9" t="n"/>
    </row>
    <row r="41" ht="24" customHeight="1" s="69">
      <c r="A41" s="9" t="n"/>
      <c r="B41" s="7" t="inlineStr">
        <is>
          <t xml:space="preserve"> - start/stop DEA komanduje se iz Huawei kontrolno-upravljačkog sistema preko modula GIM01C1, po kriteriju stanja napunjenosti baterija (SoC), a NE po ispadu mrežnog napona</t>
        </is>
      </c>
      <c r="C41" s="9" t="n"/>
      <c r="D41" s="9" t="n"/>
      <c r="E41" s="9" t="n"/>
      <c r="F41" s="9" t="n"/>
    </row>
    <row r="42">
      <c r="A42" s="9" t="n"/>
      <c r="B42" s="7" t="inlineStr">
        <is>
          <t xml:space="preserve"> - izlaz agregata vodi se na AC ulazni modul AIU03 hibridnog sistema</t>
        </is>
      </c>
      <c r="C42" s="9" t="n"/>
      <c r="D42" s="9" t="n"/>
      <c r="E42" s="9" t="n"/>
      <c r="F42" s="9" t="n"/>
    </row>
    <row r="43" ht="24" customHeight="1" s="69">
      <c r="A43" s="9" t="n"/>
      <c r="B43" s="7" t="inlineStr">
        <is>
          <t xml:space="preserve"> - ulazna snaga ispravljača mora biti ograničena u kontroleru na vrijednost koja ne preopterećuje DEA (3 × R4875G5 = 12 kW); ponuđač dokazuje usklađenost proračunom</t>
        </is>
      </c>
      <c r="C43" s="9" t="n"/>
      <c r="D43" s="9" t="n"/>
      <c r="E43" s="9" t="n"/>
      <c r="F43" s="9" t="n"/>
    </row>
    <row r="44">
      <c r="A44" s="9" t="n"/>
      <c r="B44" s="7" t="inlineStr">
        <is>
          <t>Kontroler i nadzor</t>
        </is>
      </c>
      <c r="C44" s="9" t="n"/>
      <c r="D44" s="9" t="n"/>
      <c r="E44" s="9" t="n"/>
      <c r="F44" s="9" t="n"/>
    </row>
    <row r="45">
      <c r="A45" s="9" t="n"/>
      <c r="B45" s="7" t="inlineStr">
        <is>
          <t xml:space="preserve"> - interfejs: RS232, RS485, Ethernet (RJ45), USB;  protokoli: Modbus RTU, Modbus TCP, SNMP, SMS</t>
        </is>
      </c>
      <c r="C45" s="9" t="n"/>
      <c r="D45" s="9" t="n"/>
      <c r="E45" s="9" t="n"/>
      <c r="F45" s="9" t="n"/>
    </row>
    <row r="46">
      <c r="A46" s="9" t="n"/>
      <c r="B46" s="7" t="inlineStr">
        <is>
          <t xml:space="preserve"> - integracija u krovni sistem nadzora BH Telecom-a (SCADA — Ignition) putem SNMP / Modbus TCP / Web REST API</t>
        </is>
      </c>
      <c r="C46" s="9" t="n"/>
      <c r="D46" s="9" t="n"/>
      <c r="E46" s="9" t="n"/>
      <c r="F46" s="9" t="n"/>
    </row>
    <row r="47" ht="24" customHeight="1" s="69">
      <c r="A47" s="9" t="n"/>
      <c r="B47" s="7" t="inlineStr">
        <is>
          <t xml:space="preserve"> - mjerenja: pritisak ulja, temperatura rashladnog sredstva, nivo goriva, napon i struja generatora po fazama, snaga, frekvencija, napon akumulatora, vrijeme rada motora</t>
        </is>
      </c>
      <c r="C47" s="9" t="n"/>
      <c r="D47" s="9" t="n"/>
      <c r="E47" s="9" t="n"/>
      <c r="F47" s="9" t="n"/>
    </row>
    <row r="48" ht="24" customHeight="1" s="69">
      <c r="A48" s="9" t="n"/>
      <c r="B48" s="7" t="inlineStr">
        <is>
          <t xml:space="preserve"> - alarmi: hitno zaustavljanje, nizak pritisak ulja, visoka/niska temperatura, pod/prekomjerna brzina, nizak/visok napon generatora i baterije, kvar alternatora, neuspješno pokretanje i zaustavljanje, NIZAK NIVO GORIVA, DETEKCIJA CURENJA GORIVA, POŽAR</t>
        </is>
      </c>
      <c r="C48" s="9" t="n"/>
      <c r="D48" s="9" t="n"/>
      <c r="E48" s="9" t="n"/>
      <c r="F48" s="9" t="n"/>
    </row>
    <row r="49">
      <c r="A49" s="9" t="n"/>
      <c r="B49" s="7" t="inlineStr">
        <is>
          <t xml:space="preserve"> - režimi rada: automatski, ručni, testni</t>
        </is>
      </c>
      <c r="C49" s="9" t="n"/>
      <c r="D49" s="9" t="n"/>
      <c r="E49" s="9" t="n"/>
      <c r="F49" s="9" t="n"/>
    </row>
    <row r="50">
      <c r="A50" s="9" t="n"/>
      <c r="B50" s="7" t="inlineStr">
        <is>
          <t xml:space="preserve">   kao Deep Sea Electronics DSE 7420 MKII ili ekvivalent</t>
        </is>
      </c>
      <c r="C50" s="9" t="n"/>
      <c r="D50" s="9" t="n"/>
      <c r="E50" s="9" t="n"/>
      <c r="F50" s="9" t="n"/>
    </row>
    <row r="51">
      <c r="A51" s="9" t="n"/>
      <c r="B51" s="7" t="inlineStr">
        <is>
          <t>Ostala oprema</t>
        </is>
      </c>
      <c r="C51" s="9" t="n"/>
      <c r="D51" s="9" t="n"/>
      <c r="E51" s="9" t="n"/>
      <c r="F51" s="9" t="n"/>
    </row>
    <row r="52">
      <c r="A52" s="9" t="n"/>
      <c r="B52" s="7" t="inlineStr">
        <is>
          <t xml:space="preserve"> - start baterija 12 V, 70 Ah</t>
        </is>
      </c>
      <c r="C52" s="9" t="n"/>
      <c r="D52" s="9" t="n"/>
      <c r="E52" s="9" t="n"/>
      <c r="F52" s="9" t="n"/>
    </row>
    <row r="53">
      <c r="A53" s="9" t="n"/>
      <c r="B53" s="7" t="inlineStr">
        <is>
          <t xml:space="preserve"> - punjač start baterije 12 V, 5 A, 230 V, programabilni, sa dojavom kvara, uvezan sa kontrolerom</t>
        </is>
      </c>
      <c r="C53" s="9" t="n"/>
      <c r="D53" s="9" t="n"/>
      <c r="E53" s="9" t="n"/>
      <c r="F53" s="9" t="n"/>
    </row>
    <row r="54">
      <c r="A54" s="6" t="inlineStr">
        <is>
          <t>3.2</t>
        </is>
      </c>
      <c r="B54" s="7" t="inlineStr">
        <is>
          <t>Set rezervnih dijelova za 500 sati rada DEA po preporuci proizvođača.</t>
        </is>
      </c>
      <c r="C54" s="6" t="inlineStr">
        <is>
          <t>kpl</t>
        </is>
      </c>
      <c r="D54" s="6" t="n">
        <v>1</v>
      </c>
      <c r="E54" s="8" t="n"/>
      <c r="F54" s="8">
        <f>IF(AND(D54&lt;&gt;"",E54&lt;&gt;""),D54*E54,"")</f>
        <v/>
      </c>
    </row>
    <row r="55">
      <c r="A55" s="15" t="inlineStr">
        <is>
          <t>UKUPNO 3 — AUTOMATSKI DIZEL ELEKTRIČNI AGREGAT (DEA):</t>
        </is>
      </c>
      <c r="B55" s="16" t="n"/>
      <c r="C55" s="16" t="n"/>
      <c r="D55" s="16" t="n"/>
      <c r="E55" s="17" t="n"/>
      <c r="F55" s="10">
        <f>SUM(F12:F54)</f>
        <v/>
      </c>
    </row>
    <row r="57">
      <c r="A57" s="3" t="inlineStr">
        <is>
          <t>4</t>
        </is>
      </c>
      <c r="B57" s="4" t="inlineStr">
        <is>
          <t>AGREGAT ZA MONTAŽU U POSTOJEĆI KONTEJNER</t>
        </is>
      </c>
      <c r="C57" s="5" t="n"/>
      <c r="D57" s="5" t="n"/>
      <c r="E57" s="5" t="n"/>
      <c r="F57" s="5" t="n"/>
    </row>
    <row r="58" ht="36" customHeight="1" s="69">
      <c r="A58" s="9" t="n"/>
      <c r="B58" s="61" t="inlineStr">
        <is>
          <t>Opšte napomene  Nosivost poda kontejnera je 10,00 kN/m² (ukupno stalno + korisno opterećenje, prema statičkom proračunu tipskog kontejnera K3):Napomena uz Tačku 4: DEA se ugrađuje u postojeći kontejner na lokaciji, u "inside skid" izvedbi (agregat na zajedničkom nosivom skid-okviru, bez vlastitog vanjskog kućišta, jer funkciju kućišta preuzima kontejner). Referentna izvedba data je u Prilogu III</t>
        </is>
      </c>
      <c r="C58" s="9" t="n"/>
      <c r="D58" s="9" t="n"/>
      <c r="E58" s="9" t="n"/>
      <c r="F58" s="9" t="n"/>
    </row>
    <row r="59" ht="24" customHeight="1" s="69">
      <c r="A59" s="6" t="inlineStr">
        <is>
          <t>4.1</t>
        </is>
      </c>
      <c r="B59" s="7" t="inlineStr">
        <is>
          <t>Isporuka i montaža automatskog DEA opisanog pod Tačkom 3.1 u postojeći kontejner, u skid izvedbi, na antivibracionim osloncima sa pripremom za pričvršćenje za podlogu.</t>
        </is>
      </c>
      <c r="C59" s="6" t="inlineStr">
        <is>
          <t>kpl</t>
        </is>
      </c>
      <c r="D59" s="6" t="n">
        <v>1</v>
      </c>
      <c r="E59" s="8" t="n"/>
      <c r="F59" s="8">
        <f>IF(AND(D59&lt;&gt;"",E59&lt;&gt;""),D59*E59,"")</f>
        <v/>
      </c>
    </row>
    <row r="60" ht="24" customHeight="1" s="69">
      <c r="A60" s="9" t="n"/>
      <c r="B60" s="7" t="inlineStr">
        <is>
          <t xml:space="preserve"> - PRISTUP: unos agregata vrši se kroz kapiju na sredini istočne strane ograde i kroz ulazna vrata kontejnera (svijetla širina cca 1,00 m; vrata 900 × 2000 mm). Ponuđač bira način unosa i montaže i dužan je u ponudi potvrditi izvodljivost.</t>
        </is>
      </c>
      <c r="C60" s="9" t="n"/>
      <c r="D60" s="9" t="n"/>
      <c r="E60" s="9" t="n"/>
      <c r="F60" s="9" t="n"/>
    </row>
    <row r="61">
      <c r="A61" s="9" t="n"/>
      <c r="B61" s="7" t="inlineStr">
        <is>
          <t xml:space="preserve"> - dimenzije skida prilagoditi raspoloživom prostoru, uz obavezan servisni pristup</t>
        </is>
      </c>
      <c r="C61" s="9" t="n"/>
      <c r="D61" s="9" t="n"/>
      <c r="E61" s="9" t="n"/>
      <c r="F61" s="9" t="n"/>
    </row>
    <row r="62">
      <c r="A62" s="9" t="n"/>
      <c r="B62" s="7" t="inlineStr">
        <is>
          <t xml:space="preserve"> - dozvoljeni nivo buke izvan kontejnera: &lt;68 dBA pri opterećenju 75 % na 7 m, režim Standby</t>
        </is>
      </c>
      <c r="C62" s="9" t="n"/>
      <c r="D62" s="9" t="n"/>
      <c r="E62" s="9" t="n"/>
      <c r="F62" s="9" t="n"/>
    </row>
    <row r="63">
      <c r="A63" s="9" t="n"/>
      <c r="B63" s="7" t="inlineStr">
        <is>
          <t xml:space="preserve"> - taster EMERGENCY STOP uz ulazna vrata kontejnera</t>
        </is>
      </c>
      <c r="C63" s="9" t="n"/>
      <c r="D63" s="9" t="n"/>
      <c r="E63" s="9" t="n"/>
      <c r="F63" s="9" t="n"/>
    </row>
    <row r="64" ht="24" customHeight="1" s="69">
      <c r="A64" s="6" t="inlineStr">
        <is>
          <t>4.2</t>
        </is>
      </c>
      <c r="B64" s="7" t="inlineStr">
        <is>
          <t>Isporuka, montaža i povezivanje dvoplašnog spremnika dizel goriva zapremine 500 l (0,5 m³), izrađenog od čeličnog lima, sa svim spojnim priborom, cjevovodima i armaturama.</t>
        </is>
      </c>
      <c r="C64" s="6" t="inlineStr">
        <is>
          <t>kpl</t>
        </is>
      </c>
      <c r="D64" s="6" t="n">
        <v>1</v>
      </c>
      <c r="E64" s="8" t="n"/>
      <c r="F64" s="8">
        <f>IF(AND(D64&lt;&gt;"",E64&lt;&gt;""),D64*E64,"")</f>
        <v/>
      </c>
    </row>
    <row r="65" ht="24" customHeight="1" s="69">
      <c r="A65" s="9" t="n"/>
      <c r="B65" s="7" t="inlineStr">
        <is>
          <t xml:space="preserve"> - odušna (odzračna) cijev izvedena IZVAN kontejnera, otvor zaštićen metalnom mrežicom; odzračni cjevovod od čeličnih bešavnih cijevi prema DIN 2448 sa odzračnim ventilom tip AT</t>
        </is>
      </c>
      <c r="C65" s="9" t="n"/>
      <c r="D65" s="9" t="n"/>
      <c r="E65" s="9" t="n"/>
      <c r="F65" s="9" t="n"/>
    </row>
    <row r="66">
      <c r="A66" s="9" t="n"/>
      <c r="B66" s="7" t="inlineStr">
        <is>
          <t xml:space="preserve"> - priključak za punjenje rezervoara sa zatvaračem, izveden na vanjskoj strani kontejnera</t>
        </is>
      </c>
      <c r="C66" s="9" t="n"/>
      <c r="D66" s="9" t="n"/>
      <c r="E66" s="9" t="n"/>
      <c r="F66" s="9" t="n"/>
    </row>
    <row r="67" ht="24" customHeight="1" s="69">
      <c r="A67" s="9" t="n"/>
      <c r="B67" s="7" t="inlineStr">
        <is>
          <t xml:space="preserve"> - na lokaciji obezbijediti mogućnost prilaza autocisterne za punjenje, a na pretakalištu ugraditi uređaj za odvođenje statičkog elektriciteta sa autocisterne</t>
        </is>
      </c>
      <c r="C67" s="9" t="n"/>
      <c r="D67" s="9" t="n"/>
      <c r="E67" s="9" t="n"/>
      <c r="F67" s="9" t="n"/>
    </row>
    <row r="68">
      <c r="A68" s="9" t="n"/>
      <c r="B68" s="7" t="inlineStr">
        <is>
          <t xml:space="preserve"> - priključak za pražnjenje rezervoara sa zatvaračem i priključkom za crijevo</t>
        </is>
      </c>
      <c r="C68" s="9" t="n"/>
      <c r="D68" s="9" t="n"/>
      <c r="E68" s="9" t="n"/>
      <c r="F68" s="9" t="n"/>
    </row>
    <row r="69" ht="24" customHeight="1" s="69">
      <c r="A69" s="9" t="n"/>
      <c r="B69" s="7" t="inlineStr">
        <is>
          <t xml:space="preserve"> - DVA uređaja za mjerenje nivoa goriva koji rade nezavisno jedan od drugog, sa različitim principom prikazivanja nivoa tečnosti; nivo goriva se prosljeđuje u nadzorni centar</t>
        </is>
      </c>
      <c r="C69" s="9" t="n"/>
      <c r="D69" s="9" t="n"/>
      <c r="E69" s="9" t="n"/>
      <c r="F69" s="9" t="n"/>
    </row>
    <row r="70">
      <c r="A70" s="9" t="n"/>
      <c r="B70" s="7" t="inlineStr">
        <is>
          <t xml:space="preserve"> - sonda za detekciju curenja goriva u međuplaštu</t>
        </is>
      </c>
      <c r="C70" s="9" t="n"/>
      <c r="D70" s="9" t="n"/>
      <c r="E70" s="9" t="n"/>
      <c r="F70" s="9" t="n"/>
    </row>
    <row r="71">
      <c r="A71" s="9" t="n"/>
      <c r="B71" s="7" t="inlineStr">
        <is>
          <t xml:space="preserve"> - pločica sa osnovnim tehničkim podacima (proizvođač, tvornički broj, tip, godina izrade, materijal, ispitni pritisak, zapremina)</t>
        </is>
      </c>
      <c r="C71" s="9" t="n"/>
      <c r="D71" s="9" t="n"/>
      <c r="E71" s="9" t="n"/>
      <c r="F71" s="9" t="n"/>
    </row>
    <row r="72">
      <c r="A72" s="9" t="n"/>
      <c r="B72" s="7" t="inlineStr">
        <is>
          <t xml:space="preserve"> - napajanje motora gorivom kroz Cu cijevi NO 8 mm (polazni i povratni vod)</t>
        </is>
      </c>
      <c r="C72" s="9" t="n"/>
      <c r="D72" s="9" t="n"/>
      <c r="E72" s="9" t="n"/>
      <c r="F72" s="9" t="n"/>
    </row>
    <row r="73">
      <c r="A73" s="9" t="n"/>
      <c r="B73" s="7" t="inlineStr">
        <is>
          <t xml:space="preserve"> - spremnik strukturno ojačan i zaštićen od krađe goriva</t>
        </is>
      </c>
      <c r="C73" s="9" t="n"/>
      <c r="D73" s="9" t="n"/>
      <c r="E73" s="9" t="n"/>
      <c r="F73" s="9" t="n"/>
    </row>
    <row r="74" ht="36" customHeight="1" s="69">
      <c r="A74" s="9" t="n"/>
      <c r="B74" s="7" t="inlineStr">
        <is>
          <t>Zapremina spremnika je 500 l i nije predmet varijantnih rješenja. Ukoliko statički proračun iz Tačke 4.4 pokaže da postojeća podna konstrukcija ne prihvata opterećenje skida i punog spremnika, izvodi se OJAČANJE poda prema Tački 4.4 — zapremina spremnika se NE umanjuje.</t>
        </is>
      </c>
      <c r="C74" s="9" t="n"/>
      <c r="D74" s="9" t="n"/>
      <c r="E74" s="9" t="n"/>
      <c r="F74" s="9" t="n"/>
    </row>
    <row r="75" ht="24" customHeight="1" s="69">
      <c r="A75" s="6" t="inlineStr">
        <is>
          <t>4.3</t>
        </is>
      </c>
      <c r="B75" s="7" t="inlineStr">
        <is>
          <t>Izrada i montaža prihvatnog korita (tankvane) ispod spremnika i agregata, zapremine min. 110 % zapremine spremnika, od čeličnog lima sa zaštitom otpornom na dizel gorivo.</t>
        </is>
      </c>
      <c r="C75" s="6" t="inlineStr">
        <is>
          <t>kpl</t>
        </is>
      </c>
      <c r="D75" s="6" t="n">
        <v>1</v>
      </c>
      <c r="E75" s="8" t="n"/>
      <c r="F75" s="8">
        <f>IF(AND(D75&lt;&gt;"",E75&lt;&gt;""),D75*E75,"")</f>
        <v/>
      </c>
    </row>
    <row r="76" ht="72" customHeight="1" s="69">
      <c r="A76" s="6" t="inlineStr">
        <is>
          <t>4.4</t>
        </is>
      </c>
      <c r="B76" s="7" t="inlineStr">
        <is>
          <t>OBAVEZAN statički proračun nosivosti podne konstrukcije postojećeg kontejnera, ovjeren od strane ovlaštenog inženjera, te izvođenje OJAČANJA poda ukoliko proračun pokaže da postojeća konstrukcija ne prihvata opterećenje. Ojačanje obuhvata izradu i ugradnju čeličnog roštilja za raznоšenje opterećenja skida agregata i punog spremnika goriva od 500 l, sa prenosom opterećenja na temeljnu konstrukciju kontejnera, uključujući antikorozivnu zaštitu i sav spojni materijal. Podna konstrukcija tipskog kontejnera K3 proračunata je na ukupno opterećenje (stalno + korisno) od 10,00 kN/m², sa raspoloživim budžetom korisnog opterećenja temelja od cca 5,0 kN/m² na zoni od cca 5,8 m² (prema statičkom proračunu kontejnera K3), dok masa skida i punog spremnika od 500 l (cca 1.150–1.350 kg na 2–3 m²) NE prelazi ove vrijednosti, zbog čega se ojačanje NE očekuje kao neophodno — ali ostaje OBAVEZNA provjera statičkim proračunom prije izvođenja. Zapremina spremnika se ne umanjuje.</t>
        </is>
      </c>
      <c r="C76" s="6" t="inlineStr">
        <is>
          <t>kpl</t>
        </is>
      </c>
      <c r="D76" s="6" t="n">
        <v>1</v>
      </c>
      <c r="E76" s="8" t="n"/>
      <c r="F76" s="8">
        <f>IF(AND(D76&lt;&gt;"",E76&lt;&gt;""),D76*E76,"")</f>
        <v/>
      </c>
    </row>
    <row r="77" ht="24" customHeight="1" s="69">
      <c r="A77" s="6" t="inlineStr">
        <is>
          <t>4.5</t>
        </is>
      </c>
      <c r="B77" s="7" t="inlineStr">
        <is>
          <t>Izrada i montaža fleksibilnog spoja od plastificiranog ceradnog platna sa protuokvirom od čelične trake 30 × 1,5 mm, prema dimenzijama hladnjaka ponuđenog agregata.</t>
        </is>
      </c>
      <c r="C77" s="6" t="inlineStr">
        <is>
          <t>kpl</t>
        </is>
      </c>
      <c r="D77" s="6" t="n">
        <v>1</v>
      </c>
      <c r="E77" s="8" t="n"/>
      <c r="F77" s="8">
        <f>IF(AND(D77&lt;&gt;"",E77&lt;&gt;""),D77*E77,"")</f>
        <v/>
      </c>
    </row>
    <row r="78" ht="24" customHeight="1" s="69">
      <c r="A78" s="6" t="inlineStr">
        <is>
          <t>4.6</t>
        </is>
      </c>
      <c r="B78" s="7" t="inlineStr">
        <is>
          <t>Izrada i montaža limenog kanala P ≈ 6 m² za odvod toplog zraka sa agregata, od pocinčanog lima d=1 mm, sa prirubnicama 30 × 1,5 mm, komplet sa fazonskim komadima i ovjesnim priborom.</t>
        </is>
      </c>
      <c r="C78" s="6" t="inlineStr">
        <is>
          <t>kpl</t>
        </is>
      </c>
      <c r="D78" s="6" t="n">
        <v>1</v>
      </c>
      <c r="E78" s="8" t="n"/>
      <c r="F78" s="8">
        <f>IF(AND(D78&lt;&gt;"",E78&lt;&gt;""),D78*E78,"")</f>
        <v/>
      </c>
    </row>
    <row r="79" ht="24" customHeight="1" s="69">
      <c r="A79" s="6" t="inlineStr">
        <is>
          <t>4.7</t>
        </is>
      </c>
      <c r="B79" s="7" t="inlineStr">
        <is>
          <t>Isporuka i montaža fiksne žaluzine na kraju kanala za odvod toplog zraka, dimenzija 600 × 600 mm, sa zaštitnom mrežicom, komplet sa montažnim materijalom.</t>
        </is>
      </c>
      <c r="C79" s="6" t="inlineStr">
        <is>
          <t>kpl</t>
        </is>
      </c>
      <c r="D79" s="6" t="n">
        <v>1</v>
      </c>
      <c r="E79" s="8" t="n"/>
      <c r="F79" s="8">
        <f>IF(AND(D79&lt;&gt;"",E79&lt;&gt;""),D79*E79,"")</f>
        <v/>
      </c>
    </row>
    <row r="80" ht="24" customHeight="1" s="69">
      <c r="A80" s="6" t="inlineStr">
        <is>
          <t>4.8</t>
        </is>
      </c>
      <c r="B80" s="7" t="inlineStr">
        <is>
          <t>Isporuka i montaža vanjske fiksne žaluzine za dovod svježeg zraka, dimenzija 500 × 700 mm, sa zaštitnom mrežicom. Žaluzine postaviti tako da se spriječi ulaz vode u kontejner prilikom padavina.</t>
        </is>
      </c>
      <c r="C80" s="6" t="inlineStr">
        <is>
          <t>kpl</t>
        </is>
      </c>
      <c r="D80" s="6" t="n">
        <v>1</v>
      </c>
      <c r="E80" s="8" t="n"/>
      <c r="F80" s="8">
        <f>IF(AND(D80&lt;&gt;"",E80&lt;&gt;""),D80*E80,"")</f>
        <v/>
      </c>
    </row>
    <row r="81" ht="36" customHeight="1" s="69">
      <c r="A81" s="6" t="inlineStr">
        <is>
          <t>4.9</t>
        </is>
      </c>
      <c r="B81" s="7" t="inlineStr">
        <is>
          <t>Isporuka i montaža aksijalnog ventilatora za prinudnu ventilaciju prostora agregata, kapaciteta 1200 m³/h, Ø315 mm, sa termostatskim upravljanjem. Ventilator spojiti sa komandnim ormarom agregata tako da se prilikom uključenja agregata vrši i direktno uključenje ventilatora. Minimalna potrebna ventilacija prostora iznosi 120 m³/h (6 izmjena zraka na sat).</t>
        </is>
      </c>
      <c r="C81" s="6" t="inlineStr">
        <is>
          <t>kpl</t>
        </is>
      </c>
      <c r="D81" s="6" t="n">
        <v>1</v>
      </c>
      <c r="E81" s="8" t="n"/>
      <c r="F81" s="8">
        <f>IF(AND(D81&lt;&gt;"",E81&lt;&gt;""),D81*E81,"")</f>
        <v/>
      </c>
    </row>
    <row r="82">
      <c r="A82" s="6" t="inlineStr">
        <is>
          <t>4.10</t>
        </is>
      </c>
      <c r="B82" s="7" t="inlineStr">
        <is>
          <t>Isporuka i montaža okrugle zaštitne rešetke na izlaznoj strani ventilatora, kao OZR-1/S/RAL/315 ili ekvivalent.</t>
        </is>
      </c>
      <c r="C82" s="6" t="inlineStr">
        <is>
          <t>kpl</t>
        </is>
      </c>
      <c r="D82" s="6" t="n">
        <v>1</v>
      </c>
      <c r="E82" s="8" t="n"/>
      <c r="F82" s="8">
        <f>IF(AND(D82&lt;&gt;"",E82&lt;&gt;""),D82*E82,"")</f>
        <v/>
      </c>
    </row>
    <row r="83" ht="36" customHeight="1" s="69">
      <c r="A83" s="6" t="inlineStr">
        <is>
          <t>4.11</t>
        </is>
      </c>
      <c r="B83" s="7" t="inlineStr">
        <is>
          <t>Isporuka i montaža sistema za odvod izduvnih gasova: čelična cijev NO 50 mm sa ispušnim loncem, izvedena izvan kontejnera i završena oboreno prema zemlji u obliku lule. Na kraju izduvne cijevi postaviti HVATAČ ISKRI. Komplet sa elastičnim umetkom, lukovima i montažnim materijalom.</t>
        </is>
      </c>
      <c r="C83" s="6" t="inlineStr">
        <is>
          <t>kpl</t>
        </is>
      </c>
      <c r="D83" s="6" t="n">
        <v>1</v>
      </c>
      <c r="E83" s="8" t="n"/>
      <c r="F83" s="8">
        <f>IF(AND(D83&lt;&gt;"",E83&lt;&gt;""),D83*E83,"")</f>
        <v/>
      </c>
    </row>
    <row r="84">
      <c r="A84" s="6" t="inlineStr">
        <is>
          <t>4.12</t>
        </is>
      </c>
      <c r="B84" s="7" t="inlineStr">
        <is>
          <t>Čišćenje i bojenje izduvnog cjevovoda bojom otpornom na temperaturu 600 °C.</t>
        </is>
      </c>
      <c r="C84" s="6" t="inlineStr">
        <is>
          <t>kpl</t>
        </is>
      </c>
      <c r="D84" s="6" t="n">
        <v>1</v>
      </c>
      <c r="E84" s="8" t="n"/>
      <c r="F84" s="8">
        <f>IF(AND(D84&lt;&gt;"",E84&lt;&gt;""),D84*E84,"")</f>
        <v/>
      </c>
    </row>
    <row r="85">
      <c r="A85" s="6" t="inlineStr">
        <is>
          <t>4.13</t>
        </is>
      </c>
      <c r="B85" s="7" t="inlineStr">
        <is>
          <t>Termička izolacija izduvnog sistema kamenom vunom d=50 mm i opšivanje izduvnog cjevovoda i lonca Al limom d=1 mm, do P ≈ 6 m².</t>
        </is>
      </c>
      <c r="C85" s="6" t="inlineStr">
        <is>
          <t>kpl</t>
        </is>
      </c>
      <c r="D85" s="6" t="n">
        <v>1</v>
      </c>
      <c r="E85" s="8" t="n"/>
      <c r="F85" s="8">
        <f>IF(AND(D85&lt;&gt;"",E85&lt;&gt;""),D85*E85,"")</f>
        <v/>
      </c>
    </row>
    <row r="86" ht="24" customHeight="1" s="69">
      <c r="A86" s="6" t="inlineStr">
        <is>
          <t>4.14</t>
        </is>
      </c>
      <c r="B86" s="7" t="inlineStr">
        <is>
          <t>Isporuka i ugradnja opreme za zimski rad: grijač prostora agregata sa termostatom, termoizolacija cjevovoda goriva i grijanje/zaštita spremnika od hladnog starta, komplet sa napajanjem i upravljanjem iz KOA.</t>
        </is>
      </c>
      <c r="C86" s="6" t="inlineStr">
        <is>
          <t>kpl</t>
        </is>
      </c>
      <c r="D86" s="6" t="n">
        <v>1</v>
      </c>
      <c r="E86" s="8" t="n"/>
      <c r="F86" s="8">
        <f>IF(AND(D86&lt;&gt;"",E86&lt;&gt;""),D86*E86,"")</f>
        <v/>
      </c>
    </row>
    <row r="87" ht="36" customHeight="1" s="69">
      <c r="A87" s="6" t="inlineStr">
        <is>
          <t>4.15</t>
        </is>
      </c>
      <c r="B87" s="7" t="inlineStr">
        <is>
          <t>Protupožarna zaštita i senzorika prostora agregata: automatski detektor dima na stropu, termojavljač povišene temperature (t&gt;30 °C) i snižene temperature (t&lt;10 °C), aparat za početno gašenje požara S-6 sa nosačem, te automatski uređaj za gašenje požara. Svi signali se prosljeđuju do razvodnog ormara signalizacije (ROS) i u nadzorni centar.</t>
        </is>
      </c>
      <c r="C87" s="6" t="inlineStr">
        <is>
          <t>kpl</t>
        </is>
      </c>
      <c r="D87" s="6" t="n">
        <v>1</v>
      </c>
      <c r="E87" s="8" t="n"/>
      <c r="F87" s="8">
        <f>IF(AND(D87&lt;&gt;"",E87&lt;&gt;""),D87*E87,"")</f>
        <v/>
      </c>
    </row>
    <row r="88" ht="24" customHeight="1" s="69">
      <c r="A88" s="6" t="inlineStr">
        <is>
          <t>4.16</t>
        </is>
      </c>
      <c r="B88" s="7" t="inlineStr">
        <is>
          <t>Prvo punjenje spremnika dizel gorivom EURO 5 / BAS EN 590, uključujući transport gorivom na lokaciju i pretakanje. Obračun po stvarno isporučenoj količini.</t>
        </is>
      </c>
      <c r="C88" s="6" t="inlineStr">
        <is>
          <t>l</t>
        </is>
      </c>
      <c r="D88" s="6" t="n">
        <v>500</v>
      </c>
      <c r="E88" s="8" t="n"/>
      <c r="F88" s="8">
        <f>IF(AND(D88&lt;&gt;"",E88&lt;&gt;""),D88*E88,"")</f>
        <v/>
      </c>
    </row>
    <row r="89">
      <c r="A89" s="6" t="inlineStr">
        <is>
          <t>4.17</t>
        </is>
      </c>
      <c r="B89" s="7" t="inlineStr">
        <is>
          <t>Sitni montažni materijal.</t>
        </is>
      </c>
      <c r="C89" s="6" t="inlineStr">
        <is>
          <t>pšl</t>
        </is>
      </c>
      <c r="D89" s="6" t="n">
        <v>1</v>
      </c>
      <c r="E89" s="8" t="n"/>
      <c r="F89" s="8">
        <f>IF(AND(D89&lt;&gt;"",E89&lt;&gt;""),D89*E89,"")</f>
        <v/>
      </c>
    </row>
    <row r="90" ht="36" customHeight="1" s="69">
      <c r="A90" s="6" t="inlineStr">
        <is>
          <t>4.18</t>
        </is>
      </c>
      <c r="B90" s="7"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90" s="6" t="inlineStr">
        <is>
          <t>kpl</t>
        </is>
      </c>
      <c r="D90" s="6" t="n">
        <v>1</v>
      </c>
      <c r="E90" s="8" t="n"/>
      <c r="F90" s="8">
        <f>IF(AND(D90&lt;&gt;"",E90&lt;&gt;""),D90*E90,"")</f>
        <v/>
      </c>
    </row>
    <row r="91">
      <c r="A91" s="96" t="inlineStr">
        <is>
          <t>UKUPNO 4 — AGREGAT ZA MONTAŽU U KONTEJNER:</t>
        </is>
      </c>
      <c r="B91" s="16" t="n"/>
      <c r="C91" s="16" t="n"/>
      <c r="D91" s="16" t="n"/>
      <c r="E91" s="17" t="n"/>
      <c r="F91" s="10">
        <f>SUM(F59:F90)</f>
        <v/>
      </c>
    </row>
    <row r="93">
      <c r="A93" s="3" t="inlineStr">
        <is>
          <t>5</t>
        </is>
      </c>
      <c r="B93" s="4" t="inlineStr">
        <is>
          <t>ELEKTROMONTAŽNI RADOVI</t>
        </is>
      </c>
      <c r="C93" s="5" t="n"/>
      <c r="D93" s="5" t="n"/>
      <c r="E93" s="5" t="n"/>
      <c r="F93" s="5" t="n"/>
    </row>
    <row r="94" ht="24" customHeight="1" s="69">
      <c r="A94" s="6" t="inlineStr">
        <is>
          <t>5.1</t>
        </is>
      </c>
      <c r="B94" s="7" t="inlineStr">
        <is>
          <t>Iskop rova dimenzija 0,40 × 0,80 m u zemlji IV-V kategorije za polaganje elektroenergetskih kablova i uzemljivačke trake, sa zatrpavanjem zemljom od iskopa te raščišćavanjem i planiranjem trase. Obračun po ostvarenom m1.</t>
        </is>
      </c>
      <c r="C94" s="6" t="inlineStr">
        <is>
          <t>m1</t>
        </is>
      </c>
      <c r="D94" s="6" t="n">
        <v>30</v>
      </c>
      <c r="E94" s="8" t="n"/>
      <c r="F94" s="8">
        <f>IF(AND(D94&lt;&gt;"",E94&lt;&gt;""),D94*E94,"")</f>
        <v/>
      </c>
    </row>
    <row r="95" ht="24" customHeight="1" s="69">
      <c r="A95" s="6" t="inlineStr">
        <is>
          <t>5.2</t>
        </is>
      </c>
      <c r="B95" s="7" t="inlineStr">
        <is>
          <t>Isporuka i polaganje alkaten PEHD cijevi Ø50 za uvlačenje napojnog energetskog kabla, DC solarnih kablova i kabla za daljinski nadzor. Na cijevi položiti upozoravajuću PVC traku "PAŽNJA ENERGETSKI KABEL". 3 cijevi × 15,00 m</t>
        </is>
      </c>
      <c r="C95" s="6" t="inlineStr">
        <is>
          <t>m</t>
        </is>
      </c>
      <c r="D95" s="6" t="n">
        <v>45</v>
      </c>
      <c r="E95" s="8" t="n"/>
      <c r="F95" s="8">
        <f>IF(AND(D95&lt;&gt;"",E95&lt;&gt;""),D95*E95,"")</f>
        <v/>
      </c>
    </row>
    <row r="96" ht="36" customHeight="1" s="69">
      <c r="A96" s="6" t="inlineStr">
        <is>
          <t>5.3</t>
        </is>
      </c>
      <c r="B96" s="7" t="inlineStr">
        <is>
          <t>Isporuka i polaganje vruće pocinčane uzemljivačke trake Fe/Zn 25×4 mm (presjek min. 100 mm², debljina min. 2,5 mm), na dubini od 1,00 m obzirom da se radi o planinskoj lokaciji (izbjegavanje efekta zaleđivanja tla), sa svim radovima na povezivanju na postojeći prstenasti uzemljivač radi izjednačenja potencijala.</t>
        </is>
      </c>
      <c r="C96" s="6" t="inlineStr">
        <is>
          <t>m</t>
        </is>
      </c>
      <c r="D96" s="6" t="n">
        <v>40</v>
      </c>
      <c r="E96" s="8" t="n"/>
      <c r="F96" s="8">
        <f>IF(AND(D96&lt;&gt;"",E96&lt;&gt;""),D96*E96,"")</f>
        <v/>
      </c>
    </row>
    <row r="97" ht="24" customHeight="1" s="69">
      <c r="A97" s="6" t="inlineStr">
        <is>
          <t>5.4</t>
        </is>
      </c>
      <c r="B97" s="7" t="inlineStr">
        <is>
          <t>Isporuka i montaža FeZn 60×60 mm ukrsnih komada za povezivanje uzemljivačke trake na postojeći sistem uzemljenja i na nosive konstrukcije FN panela.</t>
        </is>
      </c>
      <c r="C97" s="6" t="inlineStr">
        <is>
          <t>kom</t>
        </is>
      </c>
      <c r="D97" s="6" t="n">
        <v>8</v>
      </c>
      <c r="E97" s="8" t="n"/>
      <c r="F97" s="8">
        <f>IF(AND(D97&lt;&gt;"",E97&lt;&gt;""),D97*E97,"")</f>
        <v/>
      </c>
    </row>
    <row r="98">
      <c r="A98" s="6" t="inlineStr">
        <is>
          <t>5.5</t>
        </is>
      </c>
      <c r="B98" s="7" t="inlineStr">
        <is>
          <t>Isporuka i polaganje veza na dionici hibridni sistem — DEA:</t>
        </is>
      </c>
      <c r="C98" s="6" t="inlineStr">
        <is>
          <t>kpl</t>
        </is>
      </c>
      <c r="D98" s="6" t="n">
        <v>1</v>
      </c>
      <c r="E98" s="8" t="n"/>
      <c r="F98" s="8">
        <f>IF(AND(D98&lt;&gt;"",E98&lt;&gt;""),D98*E98,"")</f>
        <v/>
      </c>
    </row>
    <row r="99">
      <c r="A99" s="9" t="n"/>
      <c r="B99" s="7" t="inlineStr">
        <is>
          <t xml:space="preserve"> - energetski kabl dužine do 15 m, tip NYY-J 5×6 mm²</t>
        </is>
      </c>
      <c r="C99" s="9" t="n"/>
      <c r="D99" s="9" t="n"/>
      <c r="E99" s="9" t="n"/>
      <c r="F99" s="9" t="n"/>
    </row>
    <row r="100">
      <c r="A100" s="9" t="n"/>
      <c r="B100" s="7" t="inlineStr">
        <is>
          <t xml:space="preserve"> - signalni kabl dužine do 15 m, tip J-Y(ST)Y 4×2×0,6 mm²</t>
        </is>
      </c>
      <c r="C100" s="9" t="n"/>
      <c r="D100" s="9" t="n"/>
      <c r="E100" s="9" t="n"/>
      <c r="F100" s="9" t="n"/>
    </row>
    <row r="101">
      <c r="A101" s="9" t="n"/>
      <c r="B101" s="7" t="inlineStr">
        <is>
          <t xml:space="preserve"> - komunikacioni Ethernet kabl dužine do 15 m, tip STP Cat5</t>
        </is>
      </c>
      <c r="C101" s="9" t="n"/>
      <c r="D101" s="9" t="n"/>
      <c r="E101" s="9" t="n"/>
      <c r="F101" s="9" t="n"/>
    </row>
    <row r="102" ht="36" customHeight="1" s="69">
      <c r="A102" s="9" t="n"/>
      <c r="B102" s="7" t="inlineStr">
        <is>
          <t>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102" s="9" t="n"/>
      <c r="D102" s="9" t="n"/>
      <c r="E102" s="9" t="n"/>
      <c r="F102" s="9" t="n"/>
    </row>
    <row r="103" ht="36" customHeight="1" s="69">
      <c r="A103" s="6" t="inlineStr">
        <is>
          <t>5.6</t>
        </is>
      </c>
      <c r="B103" s="7" t="inlineStr">
        <is>
          <t>Isporuka i montaža NOVOG GLAVNOG RAZVODNOG ORMARA (GRO) — AC RAZVODNA SEKCIJA, za ugradnju u postojeći kontejner. Ormar služi kao zajednička AC razvodna kutija za agregat (DEA), ispravljački sistem (Huawei PowerCube 1000) i ostalu AC opremu kontejnera; DC/solarni razvod je izveden odvojeno, u zasebnom PVDB ormaru prema Tački 1.6 LOT-a 1 (AC i DC krugovi se ne miješaju u istom ormaru). Ormar zidni sa nosačima, orijentacionih dimenzija 0,60 × 0,25 × 0,80 m (Š×D×V), mehaničke zaštite min. IP66, zabravljen bravom sa višestrukim zaključavanjem, kao Schrack ili ekvivalent.</t>
        </is>
      </c>
      <c r="C103" s="6" t="inlineStr">
        <is>
          <t>kpl</t>
        </is>
      </c>
      <c r="D103" s="6" t="n">
        <v>1</v>
      </c>
      <c r="E103" s="8" t="n"/>
      <c r="F103" s="8">
        <f>IF(AND(D103&lt;&gt;"",E103&lt;&gt;""),D103*E103,"")</f>
        <v/>
      </c>
    </row>
    <row r="104" ht="36" customHeight="1" s="69">
      <c r="A104" s="9" t="n"/>
      <c r="B104" s="7" t="inlineStr">
        <is>
          <t>Sa donje strane ormara obezbijediti prostor za uvod i smještaj kablova sa PG uvodnicama prema dimenzijama kablova, opremljen stezaljkama, elementima za uzemljenje i sabirnicama, komplet ožičeno, sa uključenim ožičenjem preostalog prostora za naknadna proširenja (min. 30 % rezerve).</t>
        </is>
      </c>
      <c r="C104" s="9" t="n"/>
      <c r="D104" s="9" t="n"/>
      <c r="E104" s="9" t="n"/>
      <c r="F104" s="9" t="n"/>
    </row>
    <row r="105">
      <c r="A105" s="9" t="n"/>
      <c r="B105" s="7" t="inlineStr">
        <is>
          <t>AC RAZVOD — AGREGAT I ISPRAVLJAČI:</t>
        </is>
      </c>
      <c r="C105" s="9" t="n"/>
      <c r="D105" s="9" t="n"/>
      <c r="E105" s="9" t="n"/>
      <c r="F105" s="9" t="n"/>
    </row>
    <row r="106" ht="24" customHeight="1" s="69">
      <c r="A106" s="9" t="n"/>
      <c r="B106" s="7" t="inlineStr">
        <is>
          <t xml:space="preserve"> - 1 kom 4p tropoložajna sklopka za odabir izvora napajanja, izvedbe 1-0-2, 63 A, sa uvezanim statusom slobodnog kontakta sa kontrolerom agregata (DIG IN). Položaje obilježiti: 1-"hibridni sistem", 0-"isključeno", 2-"agregat"</t>
        </is>
      </c>
      <c r="C106" s="9" t="n"/>
      <c r="D106" s="9" t="n"/>
      <c r="E106" s="9" t="n"/>
      <c r="F106" s="9" t="n"/>
    </row>
    <row r="107" ht="24" customHeight="1" s="69">
      <c r="A107" s="9" t="n"/>
      <c r="B107" s="7" t="inlineStr">
        <is>
          <t xml:space="preserve"> - 1 kom 3p dvopoložajna sklopka za isključenje napojnog kruga, izvedbe 0-1, 63 A, sa pomoćnim kontaktom za uvezivanje statusa sa kontrolerom agregata (DIG IN)</t>
        </is>
      </c>
      <c r="C107" s="9" t="n"/>
      <c r="D107" s="9" t="n"/>
      <c r="E107" s="9" t="n"/>
      <c r="F107" s="9" t="n"/>
    </row>
    <row r="108">
      <c r="A108" s="9" t="n"/>
      <c r="B108" s="7" t="inlineStr">
        <is>
          <t xml:space="preserve"> - 3 kom 1p automatski prekidač, C, 32 A, 10 kA za zaštitu napajanja preko DEA</t>
        </is>
      </c>
      <c r="C108" s="9" t="n"/>
      <c r="D108" s="9" t="n"/>
      <c r="E108" s="9" t="n"/>
      <c r="F108" s="9" t="n"/>
    </row>
    <row r="109" ht="24" customHeight="1" s="69">
      <c r="A109" s="9" t="n"/>
      <c r="B109" s="7" t="inlineStr">
        <is>
          <t xml:space="preserve"> - 1 kom odvodnik prenapona AC, 4p, katodni, min. 40 kA / 275 V, sa signalizacijom za daljinsko očitanje stanja i uvezanim statusom sa kontrolerom agregata (DIG IN)
 - 1 kom 4p zaštitna strujna sklopka (RCD) 63 A / 300 mA, S-tip (selektivna), za zaštitu cjelokupnog napojnog kruga iza sklopke izvora
 - 2 kom 1p+N zaštitna strujna sklopka sa prekostrujnom zaštitom (RCBO) 16 A / 30 mA, tip A, za utičnice i rasvjetu kontejnera
NAPOMENA (obavezno): agregat je SHUNT pobude i prema tehničkom listu proizvođača ima deklarisanu sposobnost trajne struje kratkog spoja 0 %, zbog čega SAMO prekostrujna zaštita NE MOŽE ostvariti automatsko isključenje u vremenu zahtijevanom prema IEC 60364-4-41 (0,4 s za 230 V). Zaštita zaštitnom strujnom sklopkom je stoga OBAVEZNA. Sistem uzemljenja je TN-S sa jedinstvenom tačkom spajanja N i PE u ovom ormaru; otpor uzemljenja ≤10 Ω.</t>
        </is>
      </c>
      <c r="C109" s="9" t="n"/>
      <c r="D109" s="9" t="n"/>
      <c r="E109" s="9" t="n"/>
      <c r="F109" s="9" t="n"/>
    </row>
    <row r="110">
      <c r="A110" s="9" t="n"/>
      <c r="B110" s="7" t="inlineStr">
        <is>
          <t xml:space="preserve"> - 1 kom 3p automatski prekidač, C, 32 A, 10 kA, za AC napajanje ispravljačkog sistema (Huawei PowerCube 1000)</t>
        </is>
      </c>
      <c r="C110" s="9" t="n"/>
      <c r="D110" s="9" t="n"/>
      <c r="E110" s="9" t="n"/>
      <c r="F110" s="9" t="n"/>
    </row>
    <row r="111">
      <c r="A111" s="9" t="n"/>
      <c r="B111" s="7" t="inlineStr">
        <is>
          <t xml:space="preserve"> - 2 kom 1p automatski prekidač, C, 16 A, sa rezervom za ostalu AC opremu kontejnera (rasvjeta, utičnice, klima i sl.) i buduća proširenja</t>
        </is>
      </c>
      <c r="C111" s="9" t="n"/>
      <c r="D111" s="9" t="n"/>
      <c r="E111" s="9" t="n"/>
      <c r="F111" s="9" t="n"/>
    </row>
    <row r="112">
      <c r="A112" s="9" t="n"/>
      <c r="B112" s="7" t="inlineStr">
        <is>
          <t>NAPOMENA — DC/SOLARNI RAZVOD NIJE DIO OVOG ORMARA:</t>
        </is>
      </c>
      <c r="C112" s="9" t="n"/>
      <c r="D112" s="9" t="n"/>
      <c r="E112" s="9" t="n"/>
      <c r="F112" s="9" t="n"/>
    </row>
    <row r="113">
      <c r="A113" s="9" t="n"/>
      <c r="B113" s="7" t="inlineStr">
        <is>
          <t xml:space="preserve"> - DC rastavljač, osigurači nizova FN panela i DC odvodnik prenapona (tip 2) smješteni su u zasebnom PVDB ormaru prema Tački 1.6 (LOT 1), fizički odvojenom od ovog GRO-a, radi razdvajanja AC i DC krugova u posebnim kućištima.</t>
        </is>
      </c>
      <c r="C113" s="9" t="n"/>
      <c r="D113" s="9" t="n"/>
      <c r="E113" s="9" t="n"/>
      <c r="F113" s="9" t="n"/>
    </row>
    <row r="114">
      <c r="A114" s="9" t="n"/>
      <c r="B114" s="7" t="n"/>
      <c r="C114" s="9" t="n"/>
      <c r="D114" s="9" t="n"/>
      <c r="E114" s="9" t="n"/>
      <c r="F114" s="9" t="n"/>
    </row>
    <row r="115" ht="36" customHeight="1" s="69">
      <c r="A115" s="9" t="n"/>
      <c r="B115" s="7" t="inlineStr">
        <is>
          <t>Napomena: Sve metalne mase ormara koje u normalnom radu nisu pod naponom povezati na sabirnice za izjednačenje potencijala. Uvodi kablova brtvljeni uvodnicama. Izraditi i pričvrstiti natpisne pločice sa prednje strane ormara, gravirano: "GRO AC — AGREGAT/ISPRAVLJAČI — BS SJEDNICA" i oznaka W012 "OPASAN NAPON" u skladu sa EN ISO 7010.</t>
        </is>
      </c>
      <c r="C115" s="9" t="n"/>
      <c r="D115" s="9" t="n"/>
      <c r="E115" s="9" t="n"/>
      <c r="F115" s="9" t="n"/>
    </row>
    <row r="116" ht="24" customHeight="1" s="69">
      <c r="A116" s="6" t="inlineStr">
        <is>
          <t>5.7</t>
        </is>
      </c>
      <c r="B116" s="7" t="inlineStr">
        <is>
          <t>Uvezivanje kontrolera DEA sa Huawei kontrolno-upravljačkim sistemom (modul GIM01C1) i sa razvodnim ormarom signalizacije (ROS), te parametriranje kriterija automatskog starta po stanju napunjenosti baterija (SoC).</t>
        </is>
      </c>
      <c r="C116" s="6" t="inlineStr">
        <is>
          <t>kpl</t>
        </is>
      </c>
      <c r="D116" s="6" t="n">
        <v>1</v>
      </c>
      <c r="E116" s="8" t="n"/>
      <c r="F116" s="8">
        <f>IF(AND(D116&lt;&gt;"",E116&lt;&gt;""),D116*E116,"")</f>
        <v/>
      </c>
    </row>
    <row r="117" ht="36" customHeight="1" s="69">
      <c r="A117" s="6" t="inlineStr">
        <is>
          <t>5.8</t>
        </is>
      </c>
      <c r="B117" s="7"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117" s="6" t="inlineStr">
        <is>
          <t>kpl</t>
        </is>
      </c>
      <c r="D117" s="6" t="n">
        <v>1</v>
      </c>
      <c r="E117" s="8" t="n"/>
      <c r="F117" s="8">
        <f>IF(AND(D117&lt;&gt;"",E117&lt;&gt;""),D117*E117,"")</f>
        <v/>
      </c>
    </row>
    <row r="118">
      <c r="A118" s="6" t="inlineStr">
        <is>
          <t>5.9</t>
        </is>
      </c>
      <c r="B118" s="7" t="inlineStr">
        <is>
          <t>Ostali sitni montažni i potrošni materijal.</t>
        </is>
      </c>
      <c r="C118" s="6" t="inlineStr">
        <is>
          <t>paušal</t>
        </is>
      </c>
      <c r="D118" s="6" t="n">
        <v>1</v>
      </c>
      <c r="E118" s="8" t="n"/>
      <c r="F118" s="8">
        <f>IF(AND(D118&lt;&gt;"",E118&lt;&gt;""),D118*E118,"")</f>
        <v/>
      </c>
    </row>
    <row r="119">
      <c r="A119" s="15" t="inlineStr">
        <is>
          <t>UKUPNO 5 — ELEKTROMONTAŽNI RADOVI:</t>
        </is>
      </c>
      <c r="B119" s="16" t="n"/>
      <c r="C119" s="16" t="n"/>
      <c r="D119" s="16" t="n"/>
      <c r="E119" s="17" t="n"/>
      <c r="F119" s="10">
        <f>SUM(F94:F118)</f>
        <v/>
      </c>
    </row>
    <row r="121">
      <c r="A121" s="3" t="inlineStr">
        <is>
          <t>6</t>
        </is>
      </c>
      <c r="B121" s="4" t="inlineStr">
        <is>
          <t>PUŠTANJE U RAD, OBUKA I DOKUMENTACIJA (DO POTPUNE GOTOVOSTI)</t>
        </is>
      </c>
      <c r="C121" s="5" t="n"/>
      <c r="D121" s="5" t="n"/>
      <c r="E121" s="5" t="n"/>
      <c r="F121" s="5" t="n"/>
    </row>
    <row r="122" ht="36" customHeight="1" s="69">
      <c r="A122" s="9" t="n"/>
      <c r="B122" s="2" t="inlineStr">
        <is>
          <t>Napomena uz Tačku 6: LOT 2 obuhvata usluge montaže i uvezivanja sistema DO POTPUNE GOTOVOSTI i funkcionalnosti, uključujući sve radove, materijal i usluge neophodne za predaju sistema u ispravnom i funkcionalnom stanju, bez obzira da li su izričito navedeni u pojedinačnim stavkama.</t>
        </is>
      </c>
      <c r="C122" s="9" t="n"/>
      <c r="D122" s="9" t="n"/>
      <c r="E122" s="9" t="n"/>
      <c r="F122" s="9" t="n"/>
    </row>
    <row r="123" ht="24" customHeight="1" s="69">
      <c r="A123" s="6" t="inlineStr">
        <is>
          <t>6.1</t>
        </is>
      </c>
      <c r="B123" s="7" t="inlineStr">
        <is>
          <t>Puštanje u rad kompletnog sistema, funkcionalno testiranje automatskog starta DEA po kriteriju stanja baterija, testiranje prelaska izvora i 72-satni probni rad sa zapisom parametara.</t>
        </is>
      </c>
      <c r="C123" s="6" t="inlineStr">
        <is>
          <t>kpl</t>
        </is>
      </c>
      <c r="D123" s="6" t="n">
        <v>1</v>
      </c>
      <c r="E123" s="8" t="n"/>
      <c r="F123" s="8">
        <f>IF(AND(D123&lt;&gt;"",E123&lt;&gt;""),D123*E123,"")</f>
        <v/>
      </c>
    </row>
    <row r="124" ht="24" customHeight="1" s="69">
      <c r="A124" s="6" t="inlineStr">
        <is>
          <t>6.2</t>
        </is>
      </c>
      <c r="B124" s="7" t="inlineStr">
        <is>
          <t>Uvezivanje kontrolera DEA u krovni sistem nadzora i upravljanja BH Telecom-a (SCADA — Ignition), sa isporukom licenciranog softverskog paketa, instalacijom u nadzornom centru, uvezivanjem do najbližeg switcha i testiranjem prosljeđivanja alarma.</t>
        </is>
      </c>
      <c r="C124" s="6" t="inlineStr">
        <is>
          <t>kpl</t>
        </is>
      </c>
      <c r="D124" s="6" t="n">
        <v>1</v>
      </c>
      <c r="E124" s="8" t="n"/>
      <c r="F124" s="8">
        <f>IF(AND(D124&lt;&gt;"",E124&lt;&gt;""),D124*E124,"")</f>
        <v/>
      </c>
    </row>
    <row r="125">
      <c r="A125" s="6" t="inlineStr">
        <is>
          <t>6.3</t>
        </is>
      </c>
      <c r="B125" s="7" t="inlineStr">
        <is>
          <t>Obuka osoblja Investitora (do 4 osobe) za rukovanje i osnovno održavanje sistema, u trajanju od min. 1 radnog dana.</t>
        </is>
      </c>
      <c r="C125" s="6" t="inlineStr">
        <is>
          <t>kpl</t>
        </is>
      </c>
      <c r="D125" s="6" t="n">
        <v>1</v>
      </c>
      <c r="E125" s="8" t="n"/>
      <c r="F125" s="8">
        <f>IF(AND(D125&lt;&gt;"",E125&lt;&gt;""),D125*E125,"")</f>
        <v/>
      </c>
    </row>
    <row r="126" ht="24" customHeight="1" s="69">
      <c r="A126" s="6" t="inlineStr">
        <is>
          <t>6.4</t>
        </is>
      </c>
      <c r="B126" s="7" t="inlineStr">
        <is>
          <t>Izrada dokumentacije izvedenog stanja za kompletan LOT 2 (elektro, mašinski i građevinski dio), u 3 štampana primjerka i u elektronskoj formi (PDF + izvorni DWG/DOCX).</t>
        </is>
      </c>
      <c r="C126" s="6" t="inlineStr">
        <is>
          <t>kpl</t>
        </is>
      </c>
      <c r="D126" s="6" t="n">
        <v>1</v>
      </c>
      <c r="E126" s="8" t="n"/>
      <c r="F126" s="8">
        <f>IF(AND(D126&lt;&gt;"",E126&lt;&gt;""),D126*E126,"")</f>
        <v/>
      </c>
    </row>
    <row r="127">
      <c r="A127" s="15" t="inlineStr">
        <is>
          <t>UKUPNO 6 — PUŠTANJE U RAD, OBUKA I DOKUMENTACIJA:</t>
        </is>
      </c>
      <c r="B127" s="16" t="n"/>
      <c r="C127" s="16" t="n"/>
      <c r="D127" s="16" t="n"/>
      <c r="E127" s="17" t="n"/>
      <c r="F127" s="10">
        <f>SUM(F123:F126)</f>
        <v/>
      </c>
    </row>
    <row r="129">
      <c r="A129" s="23" t="inlineStr">
        <is>
          <t>UKUPNO LOT 2 — DEA U POSTOJEĆEM KONTEJNERU (bez PDV-a):</t>
        </is>
      </c>
      <c r="B129" s="16" t="n"/>
      <c r="C129" s="16" t="n"/>
      <c r="D129" s="16" t="n"/>
      <c r="E129" s="17" t="n"/>
      <c r="F129" s="14">
        <f>F91+F119+F127</f>
        <v/>
      </c>
    </row>
    <row r="131">
      <c r="A131" s="21" t="inlineStr">
        <is>
          <t>REKAPITULACIJA</t>
        </is>
      </c>
      <c r="B131" s="16" t="n"/>
      <c r="C131" s="16" t="n"/>
      <c r="D131" s="16" t="n"/>
      <c r="E131" s="16" t="n"/>
      <c r="F131" s="17" t="n"/>
    </row>
    <row r="132">
      <c r="A132" s="9" t="n"/>
      <c r="B132" s="7" t="inlineStr">
        <is>
          <t>LOT 1 — NOSAČI ZA FOTONAPONSKE PANELE (GROUND SUPPORT)</t>
        </is>
      </c>
      <c r="C132" s="9" t="n"/>
      <c r="D132" s="9" t="n"/>
      <c r="E132" s="9" t="n"/>
      <c r="F132" s="8">
        <f>'LOT 1'!F50</f>
        <v/>
      </c>
    </row>
    <row r="133">
      <c r="A133" s="9" t="n"/>
      <c r="B133" s="7" t="inlineStr">
        <is>
          <t>LOT 2 — DIZEL ELEKTRIČNI AGREGAT U POSTOJEĆEM KONTEJNERU</t>
        </is>
      </c>
      <c r="C133" s="9" t="n"/>
      <c r="D133" s="9" t="n"/>
      <c r="E133" s="9" t="n"/>
      <c r="F133" s="8">
        <f>F129</f>
        <v/>
      </c>
    </row>
    <row r="134">
      <c r="A134" s="15" t="inlineStr">
        <is>
          <t>SVE UKUPNO (LOT 1 + LOT 2) bez PDV-a [KM]:</t>
        </is>
      </c>
      <c r="B134" s="16" t="n"/>
      <c r="C134" s="16" t="n"/>
      <c r="D134" s="16" t="n"/>
      <c r="E134" s="17" t="n"/>
      <c r="F134" s="10">
        <f>SUM(F132:F133)</f>
        <v/>
      </c>
    </row>
    <row r="135">
      <c r="A135" s="15" t="inlineStr">
        <is>
          <t>Popust [%]:</t>
        </is>
      </c>
      <c r="B135" s="16" t="n"/>
      <c r="C135" s="16" t="n"/>
      <c r="D135" s="16" t="n"/>
      <c r="E135" s="17" t="n"/>
      <c r="F135" s="10" t="n"/>
    </row>
    <row r="136">
      <c r="A136" s="15" t="inlineStr">
        <is>
          <t>SVE UKUPNO sa popustom bez PDV-a [KM]:</t>
        </is>
      </c>
      <c r="B136" s="16" t="n"/>
      <c r="C136" s="16" t="n"/>
      <c r="D136" s="16" t="n"/>
      <c r="E136" s="17" t="n"/>
      <c r="F136" s="10">
        <f>F134*(1-IF(F135="",0,F135/100))</f>
        <v/>
      </c>
    </row>
    <row r="137">
      <c r="A137" s="15" t="inlineStr">
        <is>
          <t>Iznos PDV-a (17%) [KM]:</t>
        </is>
      </c>
      <c r="B137" s="16" t="n"/>
      <c r="C137" s="16" t="n"/>
      <c r="D137" s="16" t="n"/>
      <c r="E137" s="17" t="n"/>
      <c r="F137" s="10">
        <f>F136*0.17</f>
        <v/>
      </c>
    </row>
    <row r="138">
      <c r="A138" s="15" t="inlineStr">
        <is>
          <t>SVE UKUPNO sa popustom i PDV-om [KM]:</t>
        </is>
      </c>
      <c r="B138" s="16" t="n"/>
      <c r="C138" s="16" t="n"/>
      <c r="D138" s="16" t="n"/>
      <c r="E138" s="17" t="n"/>
      <c r="F138" s="10">
        <f>F136+F137</f>
        <v/>
      </c>
    </row>
    <row r="140">
      <c r="A140" s="22" t="inlineStr">
        <is>
          <t>NAPOMENA:</t>
        </is>
      </c>
    </row>
    <row r="141">
      <c r="A141" s="18" t="inlineStr">
        <is>
          <t>- Nabavka je podijeljena na dva LOT-a. Ponuđač može dostaviti ponudu za JEDAN ili OBA LOT-a. Ugovor se dodjeljuje po LOT-u, prema kriteriju najniže cijene tehnički zadovoljavajuće ponude.</t>
        </is>
      </c>
    </row>
    <row r="142">
      <c r="A142" s="18" t="inlineStr">
        <is>
          <t>- Procijenjena vrijednost nabavke: LOT 1 = 15.000,00 KM, LOT 2 = 35.000,00 KM, UKUPNO 50.000,00 KM bez PDV-a.</t>
        </is>
      </c>
    </row>
    <row r="143">
      <c r="A143" s="18" t="inlineStr">
        <is>
          <t>- Ugovorne obaveze nastaju po upućivanju pismenog zahtjeva/narudžbe od strane BH Telecom-a.</t>
        </is>
      </c>
    </row>
    <row r="144">
      <c r="A144" s="18" t="inlineStr">
        <is>
          <t>- Količine u Tačkama 2. i 5. su orijentacione i utvrđene na osnovu podataka iz RFI dokumenta i Projektnog zadatka. Konačne količine utvrđuju se elaboratom montaže i geodetskim snimkom, a obračunavaju se po stvarno izvedenim količinama.</t>
        </is>
      </c>
    </row>
    <row r="145">
      <c r="A145" s="18" t="inlineStr">
        <is>
          <t>- LOT 2 obuhvata montažu i uvezivanje sistema DO POTPUNE GOTOVOSTI.</t>
        </is>
      </c>
    </row>
    <row r="146">
      <c r="A146" s="18" t="inlineStr">
        <is>
          <t>- Orijentaciona potrošnja goriva agregata 22 kVA pri opterećenju od 75 % iznosi cca 3,2 l/h (procjena razmjerna snazi, u odnosu na ranije razmatran model od 18 kVA). Pri projektovanom godišnjem radu do 250 h (standby režim prema ISO 8528) to iznosi cca 800 l godišnje, odnosno spremnik od 500 l obezbjeđuje autonomiju od cca 7–8 mjeseci (cca 0,6 godine) između dopunjavanja. Ponuđač je dužan dostaviti stvarne podatke o potrošnji za ponuđeni tip DEA.</t>
        </is>
      </c>
    </row>
    <row r="147">
      <c r="A147" s="18" t="inlineStr">
        <is>
          <t>- Grafički prilozi (situacija postojećeg i budućeg stanja, presjek, dispozicija opreme) dati su u PRILOGU III tenderske dokumentacije.</t>
        </is>
      </c>
    </row>
    <row r="149">
      <c r="B149" s="1" t="inlineStr">
        <is>
          <t>Datum:  ___________________________</t>
        </is>
      </c>
      <c r="E149" s="1" t="inlineStr">
        <is>
          <t>Potpis i pečat Ponuđača:  ___________________________</t>
        </is>
      </c>
    </row>
  </sheetData>
  <mergeCells count="21">
    <mergeCell ref="A138:E138"/>
    <mergeCell ref="A145:F145"/>
    <mergeCell ref="A3:F3"/>
    <mergeCell ref="A119:E119"/>
    <mergeCell ref="A2:F2"/>
    <mergeCell ref="A141:F141"/>
    <mergeCell ref="A144:F144"/>
    <mergeCell ref="A137:E137"/>
    <mergeCell ref="A131:F131"/>
    <mergeCell ref="A140:F140"/>
    <mergeCell ref="A147:F147"/>
    <mergeCell ref="A136:E136"/>
    <mergeCell ref="A55:E55"/>
    <mergeCell ref="A129:E129"/>
    <mergeCell ref="A143:F143"/>
    <mergeCell ref="A135:E135"/>
    <mergeCell ref="A142:F142"/>
    <mergeCell ref="A91:E91"/>
    <mergeCell ref="A134:E134"/>
    <mergeCell ref="A146:F146"/>
    <mergeCell ref="A127:E127"/>
  </mergeCells>
  <pageMargins left="0.7" right="0.7" top="0.75" bottom="0.75" header="0.3" footer="0.3"/>
  <pageSetup orientation="portrait" paperSize="9"/>
  <headerFooter>
    <oddHeader>&amp;R&amp;"Times New Roman,Regular"&amp;12&amp;K000000 &amp;"Arial,Regular"&amp;10 &amp;K000000[BH Telecom | &amp;BInterno&amp;B]</oddHeader>
    <oddFooter/>
    <evenHeader>&amp;R&amp;"Times New Roman,Regular"&amp;12&amp;K000000 &amp;"Arial,Regular"&amp;10 &amp;K000000[BH Telecom | &amp;BInterno&amp;B]</evenHeader>
    <evenFooter/>
    <firstHeader>&amp;R&amp;"Times New Roman,Regular"&amp;12&amp;K000000 &amp;"Arial,Regular"&amp;10 &amp;K000000[BH Telecom | &amp;BInterno&amp;B]</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2026-08-06T15:05:01Z</dcterms:created>
  <dcterms:modified xmlns:dcterms="http://purl.org/dc/terms/" xmlns:xsi="http://www.w3.org/2001/XMLSchema-instance" xsi:type="dcterms:W3CDTF">2026-08-08T02:26:50Z</dcterms:modified>
  <cp:lastModifiedBy>Rusmir Skopljak</cp:lastModifiedBy>
  <cp:keywords xml:space="preserve"> [BH Telecom | Interno]</cp:keywords>
</cp:coreProperties>
</file>

<file path=docProps/custom.xml><?xml version="1.0" encoding="utf-8"?>
<Properties xmlns="http://schemas.openxmlformats.org/officeDocument/2006/custom-properties">
  <property name="docIndexRef" fmtid="{D5CDD505-2E9C-101B-9397-08002B2CF9AE}" pid="2">
    <vt:lpwstr xmlns:vt="http://schemas.openxmlformats.org/officeDocument/2006/docPropsVTypes">8fb2bdcd-5e0f-4d13-acfc-f618c7274118</vt:lpwstr>
  </property>
  <property name="bjSaver" fmtid="{D5CDD505-2E9C-101B-9397-08002B2CF9AE}" pid="3">
    <vt:lpwstr xmlns:vt="http://schemas.openxmlformats.org/officeDocument/2006/docPropsVTypes">PBKzKNjp5eaEU3tBjVgEWI+fS8Y9fUcj</vt:lpwstr>
  </property>
  <property name="bjDocumentLabelXML" fmtid="{D5CDD505-2E9C-101B-9397-08002B2CF9AE}" pid="4">
    <vt:lpwstr xmlns:vt="http://schemas.openxmlformats.org/officeDocument/2006/docPropsVTypes">&lt;?xml version="1.0" encoding="us-ascii"?&gt;&lt;sisl xmlns:xsi="http://www.w3.org/2001/XMLSchema-instance" xmlns:xsd="http://www.w3.org/2001/XMLSchema" sislVersion="0" policy="5f91bfb2-a9c1-45d0-8517-08b1f316eb15" origin="userSelected" xmlns="http://www.boldonj</vt:lpwstr>
  </property>
  <property name="bjDocumentLabelXML-0" fmtid="{D5CDD505-2E9C-101B-9397-08002B2CF9AE}" pid="5">
    <vt:lpwstr xmlns:vt="http://schemas.openxmlformats.org/officeDocument/2006/docPropsVTypes">ames.com/2008/01/sie/internal/label"&gt;&lt;element uid="id_classification_generalbusiness" value="" /&gt;&lt;/sisl&gt;</vt:lpwstr>
  </property>
  <property name="bjDocumentSecurityLabel" fmtid="{D5CDD505-2E9C-101B-9397-08002B2CF9AE}" pid="6">
    <vt:lpwstr xmlns:vt="http://schemas.openxmlformats.org/officeDocument/2006/docPropsVTypes">Interno</vt:lpwstr>
  </property>
  <property name="bjClsUserRVM" fmtid="{D5CDD505-2E9C-101B-9397-08002B2CF9AE}" pid="7">
    <vt:lpwstr xmlns:vt="http://schemas.openxmlformats.org/officeDocument/2006/docPropsVTypes">[]</vt:lpwstr>
  </property>
  <property name="bjLabelHistoryID" fmtid="{D5CDD505-2E9C-101B-9397-08002B2CF9AE}" pid="8">
    <vt:lpwstr xmlns:vt="http://schemas.openxmlformats.org/officeDocument/2006/docPropsVTypes">{740AF07F-B5FD-4336-9AA5-5B70F58EC679}</vt:lpwstr>
  </property>
  <property name="bjRightHeaderLabel-first" fmtid="{D5CDD505-2E9C-101B-9397-08002B2CF9AE}" pid="9">
    <vt:lpwstr xmlns:vt="http://schemas.openxmlformats.org/officeDocument/2006/docPropsVTypes">&amp;"Times New Roman,Regular"&amp;12&amp;K000000 &amp;"Arial,Regular"&amp;10&amp;K000000[BH Telecom | &amp;B&amp;K000000Interno&amp;B&amp;K000000]</vt:lpwstr>
  </property>
  <property name="bjRightHeaderLabel-even" fmtid="{D5CDD505-2E9C-101B-9397-08002B2CF9AE}" pid="10">
    <vt:lpwstr xmlns:vt="http://schemas.openxmlformats.org/officeDocument/2006/docPropsVTypes">&amp;"Times New Roman,Regular"&amp;12&amp;K000000 &amp;"Arial,Regular"&amp;10&amp;K000000[BH Telecom | &amp;B&amp;K000000Interno&amp;B&amp;K000000]</vt:lpwstr>
  </property>
  <property name="bjRightHeaderLabel" fmtid="{D5CDD505-2E9C-101B-9397-08002B2CF9AE}" pid="11">
    <vt:lpwstr xmlns:vt="http://schemas.openxmlformats.org/officeDocument/2006/docPropsVTypes">&amp;"Times New Roman,Regular"&amp;12&amp;K000000 &amp;"Arial,Regular"&amp;10&amp;K000000[BH Telecom | &amp;B&amp;K000000Interno&amp;B&amp;K000000]</vt:lpwstr>
  </property>
</Properties>
</file>