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4025" tabRatio="600" firstSheet="0" activeTab="1" autoFilterDateGrouping="1"/>
  </bookViews>
  <sheets>
    <sheet xmlns:r="http://schemas.openxmlformats.org/officeDocument/2006/relationships" name="LOT 1" sheetId="1" state="visible" r:id="rId1"/>
    <sheet xmlns:r="http://schemas.openxmlformats.org/officeDocument/2006/relationships" name="LOT 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KM&quot;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charset val="238"/>
      <family val="2"/>
      <b val="1"/>
      <sz val="10"/>
    </font>
    <font>
      <name val="Arial"/>
      <charset val="238"/>
      <family val="2"/>
      <b val="1"/>
      <sz val="11"/>
    </font>
    <font>
      <name val="Arial"/>
      <charset val="238"/>
      <family val="2"/>
      <b val="1"/>
      <sz val="9"/>
    </font>
    <font>
      <name val="Arial"/>
      <charset val="238"/>
      <family val="2"/>
      <i val="1"/>
      <sz val="9"/>
    </font>
    <font>
      <name val="Arial"/>
      <charset val="238"/>
      <family val="2"/>
      <sz val="9"/>
    </font>
    <font>
      <name val="Arial"/>
      <charset val="238"/>
      <family val="2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FFE8E8E8"/>
      </patternFill>
    </fill>
    <fill>
      <patternFill patternType="solid">
        <fgColor rgb="FFDCEEDC"/>
      </patternFill>
    </fill>
    <fill>
      <patternFill patternType="solid">
        <fgColor rgb="FFD9D9D9"/>
      </patternFill>
    </fill>
    <fill>
      <patternFill patternType="solid">
        <fgColor rgb="FFF8DEDE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80808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indexed="64"/>
      </top>
      <bottom/>
      <diagonal/>
    </border>
    <border>
      <left style="thin">
        <color rgb="FF80808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indexed="64"/>
      </top>
      <bottom style="thin">
        <color rgb="FF808080"/>
      </bottom>
      <diagonal/>
    </border>
    <border>
      <left/>
      <right/>
      <top style="thin">
        <color indexed="64"/>
      </top>
      <bottom style="thin">
        <color rgb="FF808080"/>
      </bottom>
      <diagonal/>
    </border>
    <border>
      <left/>
      <right style="thin">
        <color rgb="FF808080"/>
      </right>
      <top style="thin">
        <color indexed="64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808080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top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4" fontId="0" fillId="0" borderId="1" pivotButton="0" quotePrefix="0" xfId="0"/>
    <xf numFmtId="0" fontId="0" fillId="0" borderId="1" pivotButton="0" quotePrefix="0" xfId="0"/>
    <xf numFmtId="4" fontId="3" fillId="4" borderId="1" pivotButton="0" quotePrefix="0" xfId="0"/>
    <xf numFmtId="4" fontId="1" fillId="3" borderId="1" pivotButton="0" quotePrefix="0" xfId="0"/>
    <xf numFmtId="0" fontId="1" fillId="5" borderId="1" applyAlignment="1" pivotButton="0" quotePrefix="0" xfId="0">
      <alignment horizontal="right" vertical="center"/>
    </xf>
    <xf numFmtId="164" fontId="1" fillId="5" borderId="1" applyAlignment="1" pivotButton="0" quotePrefix="0" xfId="0">
      <alignment horizontal="center" vertical="center"/>
    </xf>
    <xf numFmtId="4" fontId="1" fillId="5" borderId="1" pivotButton="0" quotePrefix="0" xfId="0"/>
    <xf numFmtId="0" fontId="3" fillId="4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4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4" fontId="0" fillId="0" borderId="6" pivotButton="0" quotePrefix="0" xfId="0"/>
    <xf numFmtId="0" fontId="0" fillId="6" borderId="8" pivotButton="0" quotePrefix="0" xfId="0"/>
    <xf numFmtId="0" fontId="3" fillId="2" borderId="11" applyAlignment="1" pivotButton="0" quotePrefix="0" xfId="0">
      <alignment vertical="center" wrapText="1"/>
    </xf>
    <xf numFmtId="0" fontId="0" fillId="2" borderId="12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0" fontId="0" fillId="6" borderId="9" applyAlignment="1" pivotButton="0" quotePrefix="0" xfId="0">
      <alignment vertical="center"/>
    </xf>
    <xf numFmtId="0" fontId="1" fillId="6" borderId="9" applyAlignment="1" pivotButton="0" quotePrefix="0" xfId="0">
      <alignment horizontal="right" vertical="center"/>
    </xf>
    <xf numFmtId="164" fontId="1" fillId="6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4" fontId="0" fillId="0" borderId="7" pivotButton="0" quotePrefix="0" xfId="0"/>
    <xf numFmtId="0" fontId="2" fillId="0" borderId="4" applyAlignment="1" pivotButton="0" quotePrefix="0" xfId="0">
      <alignment horizontal="center" vertical="center"/>
    </xf>
    <xf numFmtId="4" fontId="0" fillId="0" borderId="4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 wrapText="1"/>
    </xf>
    <xf numFmtId="0" fontId="3" fillId="2" borderId="20" applyAlignment="1" pivotButton="0" quotePrefix="0" xfId="0">
      <alignment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3" fillId="4" borderId="23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3" fillId="4" borderId="3" applyAlignment="1" pivotButton="0" quotePrefix="0" xfId="0">
      <alignment horizontal="right" vertical="center"/>
    </xf>
    <xf numFmtId="0" fontId="1" fillId="3" borderId="23" applyAlignment="1" pivotButton="0" quotePrefix="0" xfId="0">
      <alignment horizontal="right" vertical="center"/>
    </xf>
    <xf numFmtId="0" fontId="1" fillId="3" borderId="2" applyAlignment="1" pivotButton="0" quotePrefix="0" xfId="0">
      <alignment horizontal="right" vertical="center"/>
    </xf>
    <xf numFmtId="0" fontId="1" fillId="3" borderId="3" applyAlignment="1" pivotButton="0" quotePrefix="0" xfId="0">
      <alignment horizontal="right" vertical="center"/>
    </xf>
    <xf numFmtId="0" fontId="7" fillId="4" borderId="23" applyAlignment="1" pivotButton="0" quotePrefix="0" xfId="0">
      <alignment horizontal="right" vertical="center"/>
    </xf>
    <xf numFmtId="0" fontId="7" fillId="4" borderId="2" applyAlignment="1" pivotButton="0" quotePrefix="0" xfId="0">
      <alignment horizontal="right" vertical="center"/>
    </xf>
    <xf numFmtId="0" fontId="7" fillId="4" borderId="3" applyAlignment="1" pivotButton="0" quotePrefix="0" xfId="0">
      <alignment horizontal="right" vertical="center"/>
    </xf>
    <xf numFmtId="0" fontId="8" fillId="0" borderId="1" applyAlignment="1" pivotButton="0" quotePrefix="0" xfId="0">
      <alignment vertical="top" wrapText="1"/>
    </xf>
    <xf numFmtId="0" fontId="0" fillId="0" borderId="0" pivotButton="0" quotePrefix="0" xfId="0"/>
    <xf numFmtId="0" fontId="9" fillId="0" borderId="1" applyAlignment="1" pivotButton="0" quotePrefix="0" xfId="0">
      <alignment vertical="top" wrapText="1"/>
    </xf>
    <xf numFmtId="0" fontId="5" fillId="4" borderId="8" applyAlignment="1" pivotButton="0" quotePrefix="0" xfId="0">
      <alignment horizontal="right" vertical="center"/>
    </xf>
    <xf numFmtId="0" fontId="5" fillId="4" borderId="9" applyAlignment="1" pivotButton="0" quotePrefix="0" xfId="0">
      <alignment horizontal="right" vertical="center"/>
    </xf>
    <xf numFmtId="0" fontId="5" fillId="4" borderId="22" applyAlignment="1" pivotButton="0" quotePrefix="0" xfId="0">
      <alignment horizontal="right" vertical="center"/>
    </xf>
    <xf numFmtId="4" fontId="5" fillId="4" borderId="15" pivotButton="0" quotePrefix="0" xfId="0"/>
    <xf numFmtId="0" fontId="6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0" fontId="5" fillId="5" borderId="24" applyAlignment="1" pivotButton="0" quotePrefix="0" xfId="0">
      <alignment vertical="center"/>
    </xf>
    <xf numFmtId="0" fontId="5" fillId="5" borderId="25" applyAlignment="1" pivotButton="0" quotePrefix="0" xfId="0">
      <alignment vertical="center"/>
    </xf>
    <xf numFmtId="0" fontId="5" fillId="5" borderId="26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vertical="top" wrapText="1"/>
    </xf>
    <xf numFmtId="0" fontId="0" fillId="7" borderId="6" pivotButton="0" quotePrefix="0" xfId="0"/>
    <xf numFmtId="0" fontId="2" fillId="7" borderId="6" applyAlignment="1" pivotButton="0" quotePrefix="0" xfId="0">
      <alignment vertical="top" wrapText="1"/>
    </xf>
    <xf numFmtId="0" fontId="9" fillId="7" borderId="6" applyAlignment="1" pivotButton="0" quotePrefix="0" xfId="0">
      <alignment vertical="top" wrapText="1"/>
    </xf>
    <xf numFmtId="0" fontId="0" fillId="7" borderId="7" pivotButton="0" quotePrefix="0" xfId="0"/>
    <xf numFmtId="0" fontId="2" fillId="7" borderId="7" applyAlignment="1" pivotButton="0" quotePrefix="0" xfId="0">
      <alignment vertical="top" wrapText="1"/>
    </xf>
    <xf numFmtId="0" fontId="2" fillId="7" borderId="6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9" fillId="7" borderId="7" applyAlignment="1" pivotButton="0" quotePrefix="0" xfId="0">
      <alignment vertical="top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vertical="top" wrapText="1"/>
    </xf>
    <xf numFmtId="0" fontId="9" fillId="7" borderId="4" applyAlignment="1" pivotButton="0" quotePrefix="0" xfId="0">
      <alignment vertical="top" wrapText="1"/>
    </xf>
    <xf numFmtId="0" fontId="5" fillId="4" borderId="19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22" pivotButton="0" quotePrefix="0" xfId="0"/>
    <xf numFmtId="0" fontId="1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11" fillId="0" borderId="31" applyAlignment="1" pivotButton="0" quotePrefix="0" xfId="0">
      <alignment horizontal="left" vertical="center"/>
    </xf>
    <xf numFmtId="0" fontId="0" fillId="0" borderId="31" pivotButton="0" quotePrefix="0" xfId="0"/>
    <xf numFmtId="4" fontId="11" fillId="0" borderId="31" pivotButton="0" quotePrefix="0" xfId="0"/>
    <xf numFmtId="0" fontId="12" fillId="0" borderId="31" applyAlignment="1" pivotButton="0" quotePrefix="0" xfId="0">
      <alignment horizontal="left" vertical="center"/>
    </xf>
    <xf numFmtId="4" fontId="12" fillId="0" borderId="31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view="pageLayout" topLeftCell="A154" zoomScaleNormal="100" workbookViewId="0">
      <selection activeCell="B168" sqref="B168"/>
    </sheetView>
  </sheetViews>
  <sheetFormatPr baseColWidth="8" defaultRowHeight="15"/>
  <cols>
    <col width="5.7109375" customWidth="1" style="69" min="1" max="1"/>
    <col width="72.140625" customWidth="1" style="69" min="2" max="2"/>
    <col width="6.42578125" bestFit="1" customWidth="1" style="69" min="3" max="3"/>
    <col width="7.42578125" bestFit="1" customWidth="1" style="69" min="4" max="4"/>
    <col width="12.42578125" customWidth="1" style="69" min="5" max="5"/>
    <col width="14.28515625" customWidth="1" style="69" min="6" max="6"/>
  </cols>
  <sheetData>
    <row r="1">
      <c r="A1" s="68" t="inlineStr">
        <is>
          <t>PRILOG II TD</t>
        </is>
      </c>
    </row>
    <row r="2">
      <c r="A2" s="51" t="inlineStr">
        <is>
          <t>OBRAZAC ZA CIJENU PONUDE - LOT 1</t>
        </is>
      </c>
    </row>
    <row r="3">
      <c r="A3" s="51" t="inlineStr">
        <is>
          <t>INFRASTRUKTURA I INSTALACIJA OPREME ZA AUTONOMNI HIBRIDNI SISTEM NAPAJANJA SJEDNICA, BILEĆA (LOT 1 i 2)</t>
        </is>
      </c>
    </row>
    <row r="4"/>
    <row r="5">
      <c r="B5" s="70" t="inlineStr">
        <is>
          <t>Naziv Ponuđača:       __________________________________</t>
        </is>
      </c>
    </row>
    <row r="6">
      <c r="B6" s="70" t="inlineStr">
        <is>
          <t>Ponuda br.:                __________________________________</t>
        </is>
      </c>
    </row>
    <row r="7"/>
    <row r="8">
      <c r="A8" s="43" t="inlineStr">
        <is>
          <t>1</t>
        </is>
      </c>
      <c r="B8" s="44" t="inlineStr">
        <is>
          <t>2</t>
        </is>
      </c>
      <c r="C8" s="45" t="inlineStr">
        <is>
          <t>3</t>
        </is>
      </c>
      <c r="D8" s="45" t="inlineStr">
        <is>
          <t>4</t>
        </is>
      </c>
      <c r="E8" s="45" t="inlineStr">
        <is>
          <t>5</t>
        </is>
      </c>
      <c r="F8" s="46" t="inlineStr">
        <is>
          <t>6</t>
        </is>
      </c>
    </row>
    <row r="9" ht="24" customHeight="1" s="69">
      <c r="A9" s="74" t="inlineStr">
        <is>
          <t>r.br.</t>
        </is>
      </c>
      <c r="B9" s="75" t="inlineStr">
        <is>
          <t>Opis stavke</t>
        </is>
      </c>
      <c r="C9" s="74" t="inlineStr">
        <is>
          <t>Jed. mjere</t>
        </is>
      </c>
      <c r="D9" s="74" t="inlineStr">
        <is>
          <t>Količina</t>
        </is>
      </c>
      <c r="E9" s="74" t="inlineStr">
        <is>
          <t>Jed. cijena u KM bez PDV-a</t>
        </is>
      </c>
      <c r="F9" s="74" t="inlineStr">
        <is>
          <t>Ukupna cijena u KM bez PDV-a  6=(4x5)</t>
        </is>
      </c>
    </row>
    <row r="10">
      <c r="A10" s="30" t="n"/>
      <c r="B10" s="34" t="inlineStr">
        <is>
          <t>LOT 1 — KONSTRUKCIJA NOSAČA ZA FOTONAPONSKE PANELE</t>
        </is>
      </c>
      <c r="C10" s="35" t="n"/>
      <c r="D10" s="35" t="n"/>
      <c r="E10" s="36" t="n"/>
      <c r="F10" s="37" t="n"/>
    </row>
    <row r="11">
      <c r="A11" s="42" t="inlineStr">
        <is>
          <t>1</t>
        </is>
      </c>
      <c r="B11" s="31" t="inlineStr">
        <is>
          <t>NOSAČI ZA FOTONAPONSKE PANELE</t>
        </is>
      </c>
      <c r="C11" s="32" t="n"/>
      <c r="D11" s="32" t="n"/>
      <c r="E11" s="32" t="n"/>
      <c r="F11" s="33" t="n"/>
    </row>
    <row r="12" ht="24" customHeight="1" s="69">
      <c r="A12" s="24" t="inlineStr">
        <is>
          <t>1.1</t>
        </is>
      </c>
      <c r="B12" s="80" t="inlineStr">
        <is>
          <t>Isporuka i montaža nosive metalne konstrukcije (ground mount support) za prihvat fotonaponskih panela, karakteristika:
 - tip: CUSTOM IZRADA (izvan kataloga zbog opterećenja vjetrom, v. niže) — 3 nosača, svaki za 4 fotonaponska modula (2 reda × 2 kolone, portret); geometrija margina/prepusta preuzeta iz Huawei Standard A-Shaped Support 3.0 konvencije (PVM Tabela 4-20), ali poprečna greda izrađena po mjeri za 2 kolone modula, ne za kataloških 6
 - inklinacija: fiksno 45°, orijentacija JUG (azimut 180°). Nagib je zadržan zbog decembarskog prinosa — pri podnevnoj visini Sunca 23,6° na 42,94° N nagib 45° ostvaruje 93 % direktnog zračenja u odnosu na 85 % pri 35°, a decembar je mjerodavni mjesec za dimenzionisanje autonomnog sistema
 - gabariti PV polja po nosaču (2 reda × 2 modula, portret): širina polja 2305 mm (poprečna greda 2918 mm, bočni prepust 306,5 mm), dužina polja po nagibu 4576 mm (2 × 2278 mm, nepromijenjeno), horizontalna projekcija 3236 mm pri nagibu 45°; donja ivica panela na +1,50 m, gornja ivica na +4,74 m od nivoa terena — podignuto za 1,00 m u odnosu na raniju 2×6 izvedbu, jer manje opterećenje vjetra po nosaču to dopušta (v. proračun F.6)
 - smještaj: nosači se temelje IZVAN ograđenog platoa, 400 mm južno od kote ograde (raspoloživi pojas 1950 mm); gornja (sjeverna) ivica panela je 2,84 m iznad kote ograde h=1,90 m. Ponuđač provjerava da konstrukcija u cijelosti ostaje unutar zakupljene parcele 16,00 × 9,40 m
 - MJERODAVNO OPTEREĆENJE VJETROM: qp ≥ 1,20 kN/m² (udar 3 s ≈ 45 m/s) prema ovjerenoj projektnoj dokumentaciji lokacije i BAS EN 1991-1-4 sa BiH nacionalnim aneksom, uz primjenu faktora orografije za izloženi planinski vrh na 1076 m n.v. Koeficijent sile cf ≥ 1,5 pri 45° prema EN 1991-1-4 §7.3, osim ako se proračunom dokaže drugačije. Površina izloženosti vjetru 10,55 m² po nosaču (2305 × 4576 mm). Projektne sile po nosaču (GSN, γQ=1,5 / γG,fav=0,9): podizanje ≥18,1 kN, horizontalna sila ≥13,4 kN, moment prevrtanja ≥62,8 kNm. Mjerodavni su podizanje (uplift) i prevrtanje, a ne nosivost tla. NAPOMENA: kataloški nosač tipa A ima deklarisanu otpornost 31 m/s (0,52 kN/m²) pri 45° i 40 m/s (0,87 kN/m²) pri 15°/25°, što je ISPOD opterećenja ovog lokaliteta čak i za manje polje; Ponuđač je stoga dužan ponuditi konstrukciju dimenzionisanu i dokazanu za stvarno opterećenje lokaliteta, uz pisanu potvrdu proizvođača za konkretnu lokaciju (planinski vrh) ako se ipak nudi kataloški proizvod
 - materijal i izrada: konstrukcijski čelik S275JR (S355JR za stubove) prema EN 10025-2, šuplji profili prema EN 10219 — stubovi min. RHS 80×80×4, rigle min. RHS 60×40×3, ili bilo koji presjek za koji se proračunom dokaže najmanje jednak otporni moment; antikorozivna zaštita vrućim cinčanjem prema EN ISO 1461 min. 70 µm lokalno / 85 µm srednje (klasa korozivnosti C4); zavarivanje prema EN 1090-2 klasa izvedbe EXC2; CE označavanje i izjava o svojstvima prema EN 1090-1; konstrukcijski vijci M16 klase 8.8 prema EN 15048, pričvrsni pribor modula A2/A4 nehrđajući
 - spojni pribor: nehrđajući čelik A2/A4
 - uključeno ožičenje i povezivanje sva tri polja panela do PVDB distribucije preko po-string DC odvodnika prenapona (v. Tačku 1.6a i crtež E-01): PV-1 i PV-2 paralelno na rutu 1, PV-3 samostalno na rutu 2</t>
        </is>
      </c>
      <c r="C12" s="79" t="inlineStr">
        <is>
          <t>kpl</t>
        </is>
      </c>
      <c r="D12" s="79" t="n">
        <v>3</v>
      </c>
      <c r="E12" s="27" t="n"/>
      <c r="F12" s="27">
        <f>IF(AND(D12&lt;&gt;"",E12&lt;&gt;""),D12*E12,"")</f>
        <v/>
      </c>
    </row>
    <row r="13">
      <c r="A13" s="25" t="n"/>
      <c r="B13" s="82" t="n"/>
      <c r="C13" s="81" t="n"/>
      <c r="D13" s="81" t="n"/>
      <c r="E13" s="25" t="n"/>
      <c r="F13" s="25" t="n"/>
    </row>
    <row r="14">
      <c r="A14" s="25" t="n"/>
      <c r="B14" s="83" t="n"/>
      <c r="C14" s="81" t="n"/>
      <c r="D14" s="81" t="n"/>
      <c r="E14" s="25" t="n"/>
      <c r="F14" s="25" t="n"/>
    </row>
    <row r="15">
      <c r="A15" s="25" t="n"/>
      <c r="B15" s="82" t="n"/>
      <c r="C15" s="81" t="n"/>
      <c r="D15" s="81" t="n"/>
      <c r="E15" s="25" t="n"/>
      <c r="F15" s="25" t="n"/>
    </row>
    <row r="16">
      <c r="A16" s="25" t="n"/>
      <c r="B16" s="82" t="n"/>
      <c r="C16" s="81" t="n"/>
      <c r="D16" s="81" t="n"/>
      <c r="E16" s="25" t="n"/>
      <c r="F16" s="25" t="n"/>
    </row>
    <row r="17" ht="24" customHeight="1" s="69">
      <c r="A17" s="25" t="n"/>
      <c r="B17" s="82" t="n"/>
      <c r="C17" s="81" t="n"/>
      <c r="D17" s="81" t="n"/>
      <c r="E17" s="25" t="n"/>
      <c r="F17" s="25" t="n"/>
    </row>
    <row r="18">
      <c r="A18" s="25" t="n"/>
      <c r="B18" s="82" t="n"/>
      <c r="C18" s="81" t="n"/>
      <c r="D18" s="81" t="n"/>
      <c r="E18" s="25" t="n"/>
      <c r="F18" s="25" t="n"/>
    </row>
    <row r="19" ht="24" customHeight="1" s="69">
      <c r="A19" s="25" t="n"/>
      <c r="B19" s="82" t="n"/>
      <c r="C19" s="81" t="n"/>
      <c r="D19" s="81" t="n"/>
      <c r="E19" s="25" t="n"/>
      <c r="F19" s="25" t="n"/>
    </row>
    <row r="20" ht="24" customHeight="1" s="69">
      <c r="A20" s="25" t="n"/>
      <c r="B20" s="82" t="n"/>
      <c r="C20" s="81" t="n"/>
      <c r="D20" s="81" t="n"/>
      <c r="E20" s="25" t="n"/>
      <c r="F20" s="25" t="n"/>
    </row>
    <row r="21" ht="24" customHeight="1" s="69">
      <c r="A21" s="25" t="n"/>
      <c r="B21" s="82" t="n"/>
      <c r="C21" s="81" t="n"/>
      <c r="D21" s="81" t="n"/>
      <c r="E21" s="25" t="n"/>
      <c r="F21" s="25" t="n"/>
    </row>
    <row r="22" ht="24" customHeight="1" s="69">
      <c r="A22" s="25" t="n"/>
      <c r="B22" s="82" t="n"/>
      <c r="C22" s="81" t="n"/>
      <c r="D22" s="81" t="n"/>
      <c r="E22" s="25" t="n"/>
      <c r="F22" s="25" t="n"/>
    </row>
    <row r="23" ht="36" customHeight="1" s="69">
      <c r="A23" s="25" t="n"/>
      <c r="B23" s="83" t="n"/>
      <c r="C23" s="81" t="n"/>
      <c r="D23" s="81" t="n"/>
      <c r="E23" s="25" t="n"/>
      <c r="F23" s="25" t="n"/>
    </row>
    <row r="24" ht="36" customHeight="1" s="69">
      <c r="A24" s="25" t="n"/>
      <c r="B24" s="82" t="n"/>
      <c r="C24" s="81" t="n"/>
      <c r="D24" s="81" t="n"/>
      <c r="E24" s="25" t="n"/>
      <c r="F24" s="25" t="n"/>
    </row>
    <row r="25" ht="48" customHeight="1" s="69">
      <c r="A25" s="25" t="n"/>
      <c r="B25" s="82" t="n"/>
      <c r="C25" s="81" t="n"/>
      <c r="D25" s="81" t="n"/>
      <c r="E25" s="25" t="n"/>
      <c r="F25" s="25" t="n"/>
    </row>
    <row r="26">
      <c r="A26" s="25" t="n"/>
      <c r="B26" s="82" t="n"/>
      <c r="C26" s="81" t="n"/>
      <c r="D26" s="81" t="n"/>
      <c r="E26" s="25" t="n"/>
      <c r="F26" s="25" t="n"/>
    </row>
    <row r="27">
      <c r="A27" s="25" t="n"/>
      <c r="B27" s="83" t="n"/>
      <c r="C27" s="81" t="n"/>
      <c r="D27" s="81" t="n"/>
      <c r="E27" s="25" t="n"/>
      <c r="F27" s="25" t="n"/>
    </row>
    <row r="28">
      <c r="A28" s="26" t="n"/>
      <c r="B28" s="85" t="n"/>
      <c r="C28" s="84" t="n"/>
      <c r="D28" s="84" t="n"/>
      <c r="E28" s="26" t="n"/>
      <c r="F28" s="26" t="n"/>
    </row>
    <row r="29" ht="24" customHeight="1" s="69">
      <c r="A29" s="24" t="inlineStr">
        <is>
          <t>1.2</t>
        </is>
      </c>
      <c r="B29" s="80" t="inlineStr">
        <is>
          <t>Isporuka i ugradnja sistema sidrenja nosive konstrukcije iz Tačke 1.1 u stijenu/beton, hemijskim (epoksidnim) ankerima.
 - tip: hemijski (epoksidni/vinilesterski) anker M16 ili M20 sa ETA odobrenjem za ugradnju u beton i/ili stijenu, vruće cinčan ili nehrđajući A4
 - broj: najmanje 2 ankera po temeljnoj traci, odnosno 4 ankera po nosaču (minimum 2 po traci zbog redundanse)
 - nosivost: karakteristična sila čupanja ≥30 kN po ankeru; dubina ugradnje prema ETA za konkretnu podlogu. Ukupna projektna sila podizanja po nosaču ≥18,1 kN (GSN); sila po traci od momenta prevrtanja ≥39,3 kN pri razmaku traka 1600 mm (v. proračun F.6)
 - dokazivanje: ispitivanje čupanjem (pull-out test) na najmanje 10 % ugrađenih ankera, minimalno 2 po nosaču, do 1,5 × projektne sile, uz zapisnik ovjeren od nadzornog organa
 - alternativa: livena U-anker sidra M16, dužine 320 mm, razmaka krakova 180 mm, sa pločama 50×50 mm i dvostrukim maticama, dozvoljena su SAMO uz gravitacioni temelj zapremine ≥0,75 m³ po nosaču (tendovano 0,81 m³ po nosaču, v. Tačku 2.3) — momenat prevrtanja i dalje zahtijeva provjeru lokalnog istezanja trake, ne samo ukupne mase</t>
        </is>
      </c>
      <c r="C29" s="79" t="inlineStr">
        <is>
          <t>kpl</t>
        </is>
      </c>
      <c r="D29" s="79" t="n">
        <v>3</v>
      </c>
      <c r="E29" s="27" t="n"/>
      <c r="F29" s="27">
        <f>IF(AND(D29&lt;&gt;"",E29&lt;&gt;""),D29*E29,"")</f>
        <v/>
      </c>
    </row>
    <row r="30" ht="24" customHeight="1" s="69">
      <c r="A30" s="28" t="n"/>
      <c r="B30" s="82" t="n"/>
      <c r="C30" s="86" t="n"/>
      <c r="D30" s="86" t="n"/>
      <c r="E30" s="29" t="n"/>
      <c r="F30" s="29" t="n"/>
    </row>
    <row r="31" ht="24" customHeight="1" s="69">
      <c r="A31" s="38" t="n"/>
      <c r="B31" s="88" t="n"/>
      <c r="C31" s="87" t="n"/>
      <c r="D31" s="87" t="n"/>
      <c r="E31" s="39" t="n"/>
      <c r="F31" s="39" t="n"/>
    </row>
    <row r="32" ht="24" customHeight="1" s="69">
      <c r="A32" s="40" t="inlineStr">
        <is>
          <t>1.3</t>
        </is>
      </c>
      <c r="B32" s="90" t="inlineStr">
        <is>
          <t>Statički proračun nosive konstrukcije i temelja, ovjeren i potpisan od strane ovlaštenog inženjera.
 - dokaz otpornosti na pritisak vjetra qp ≥ 1,20 kN/m² pri nagibu 45°, prema BAS EN 1991-1-4 sa BiH nacionalnim aneksom, uključujući orografiju
 - dokaz na opterećenje snijegom prema BAS EN 1991-1-3 i na radijalni led 20 mm gustine 300 kg/m³
 - dokaz sigurnosti na podizanje (uplift) i prevrtanje prema EN 1990 (γQ,dst = 1,5; γG,stb = 0,9)
 - dimenzionisanje temelja i sidrenja prema stvarnim geotehničkim uslovima (kamenito tlo), uz navođenje dubine smrzavanja za lokalitet
NAPOMENA: proračun se dostavlja UZ PONUDU kao uslov kvalifikacije (Prilog I, Tačka 4), a NE nakon dodjele ugovora.</t>
        </is>
      </c>
      <c r="C32" s="89" t="inlineStr">
        <is>
          <t>kpl</t>
        </is>
      </c>
      <c r="D32" s="89" t="n">
        <v>1</v>
      </c>
      <c r="E32" s="41" t="n"/>
      <c r="F32" s="41">
        <f>IF(AND(D32&lt;&gt;"",E32&lt;&gt;""),D32*E32,"")</f>
        <v/>
      </c>
    </row>
    <row r="33" ht="36" customHeight="1" s="69">
      <c r="A33" s="40" t="inlineStr">
        <is>
          <t>1.4</t>
        </is>
      </c>
      <c r="B33" s="90" t="inlineStr">
        <is>
          <t>Uzemljenje nosivih konstrukcija: povezivanje obje konstrukcije na postojeći prstenasti uzemljivač lokacije bakarnim užetom presjeka 50 mm² sa izolacijom otpornom na UV zračenje i ukopavanje, preko priključnih stezaljki na konstrukciji i bimetalnih (Cu/Fe-Zn) ukrsnih komada radi sprječavanja galvanske korozije. Presjek prema EN 62305-3, Tabela 7, za odvođenje atmosferskog pražnjenja. Kontinuitet svih spojeva ≤0,1 Ω, ukupni otpor uzemljenja ≤10 Ω. DC kablovi se polažu na razmaku ≥0,5 m od odvoda gromobranske instalacije (Huawei §4.1.3).</t>
        </is>
      </c>
      <c r="C33" s="89" t="inlineStr">
        <is>
          <t>kpl</t>
        </is>
      </c>
      <c r="D33" s="89" t="n">
        <v>3</v>
      </c>
      <c r="E33" s="41" t="n"/>
      <c r="F33" s="41">
        <f>IF(AND(D33&lt;&gt;"",E33&lt;&gt;""),D33*E33,"")</f>
        <v/>
      </c>
    </row>
    <row r="34" ht="36" customHeight="1" s="69">
      <c r="A34" s="40" t="inlineStr">
        <is>
          <t>1.5</t>
        </is>
      </c>
      <c r="B34" s="91" t="inlineStr">
        <is>
          <t>Isporuka i polaganje DC solarnog kabla 1×6 mm² (H1Z2Z2-K) od fotonaponskih panela do PVDB distribucije, uključujući MC4 konektore, obujmice i UV-otporne kanalice. NAPOMENA: završni priključak na ulaznu stezaljku iSSU modula izvesti presjekom 4 mm² prema izričitom zahtjevu proizvođača. Pad napona pri Imp 13,67 A i dužini 25 m iznosi 0,78 %. 3 nosača × 2 × 25,00 m</t>
        </is>
      </c>
      <c r="C34" s="89" t="inlineStr">
        <is>
          <t>m</t>
        </is>
      </c>
      <c r="D34" s="89" t="n">
        <v>150</v>
      </c>
      <c r="E34" s="41" t="n"/>
      <c r="F34" s="41">
        <f>IF(AND(D34&lt;&gt;"",E34&lt;&gt;""),D34*E34,"")</f>
        <v/>
      </c>
    </row>
    <row r="35" ht="24" customHeight="1" s="69">
      <c r="A35" s="40" t="inlineStr">
        <is>
          <t>1.6</t>
        </is>
      </c>
      <c r="B35" s="91" t="inlineStr">
        <is>
          <t>Isporuka i montaža PVDB ormara za PV panele sa DC rastavljačem i osiguračima za svaki string, stepen zaštite min. IP55, kao Huawei PVDB500-15-2B (01075918) ili ekvivalent (100–500 V DC, maks. 15 A po izvodu, 2 izvoda). NAPOMENA: navedeni ormar NE sadrži odvodnik prenapona — DC odvodnik se isporučuje kao zasebna Tačka 1.6a.</t>
        </is>
      </c>
      <c r="C35" s="89" t="inlineStr">
        <is>
          <t>kpl</t>
        </is>
      </c>
      <c r="D35" s="89" t="n">
        <v>1</v>
      </c>
      <c r="E35" s="41" t="n"/>
      <c r="F35" s="41">
        <f>IF(AND(D35&lt;&gt;"",E35&lt;&gt;""),D35*E35,"")</f>
        <v/>
      </c>
    </row>
    <row r="36" ht="24" customHeight="1" s="69">
      <c r="A36" s="40" t="inlineStr">
        <is>
          <t>1.6a</t>
        </is>
      </c>
      <c r="B36" s="91" t="inlineStr">
        <is>
          <t>Isporuka i ugradnja odvodnika prenapona DC, tip 2 (Iimp ≥5 kA, Ucpv ≥425 V), za svaki string, sa pripadajućim rastavnim osiguračima, u PVDB ormaru iz Tačke 1.6 ili u zasebnom kućištu min. IP55. Po jedan komplet uz svako od tri polja panela (v. Tačku 1.1) zbog dužine DC trase od 25 m; PV-1 i PV-2 se spajaju paralelno prije PVDB rute 1, PV-3 ide samostalno na rutu 2 (v. crtež E-01).</t>
        </is>
      </c>
      <c r="C36" s="89" t="inlineStr">
        <is>
          <t>kpl</t>
        </is>
      </c>
      <c r="D36" s="89" t="n">
        <v>3</v>
      </c>
      <c r="E36" s="41" t="n"/>
      <c r="F36" s="41">
        <f>IF(AND(D36&lt;&gt;"",E36&lt;&gt;""),D36*E36,"")</f>
        <v/>
      </c>
    </row>
    <row r="37">
      <c r="A37" s="40" t="inlineStr">
        <is>
          <t>1.7</t>
        </is>
      </c>
      <c r="B37" s="97" t="inlineStr">
        <is>
          <t>Dokumentacija izvedenog stanja za LOT 1: kataloška dokumentacija nosača sa tehničkim crtežima, statički proračun, atesti materijala i vrućeg cinčanja, garantni list.</t>
        </is>
      </c>
      <c r="C37" t="inlineStr">
        <is>
          <t>kpl</t>
        </is>
      </c>
      <c r="D37" t="n">
        <v>1</v>
      </c>
      <c r="F37" s="41">
        <f>IF(AND(D37&lt;&gt;"",E37&lt;&gt;""),D37*E37,"")</f>
        <v/>
      </c>
    </row>
    <row r="38">
      <c r="A38" s="92" t="inlineStr">
        <is>
          <t>UKUPNO 1 — NOSAČI ZA FOTONAPONSKE PANELE:</t>
        </is>
      </c>
      <c r="B38" s="93" t="n"/>
      <c r="C38" s="93" t="n"/>
      <c r="D38" s="93" t="n"/>
      <c r="E38" s="94" t="n"/>
      <c r="F38" s="67">
        <f>SUM(F12:F37)</f>
        <v/>
      </c>
    </row>
    <row r="39"/>
    <row r="40" ht="24" customHeight="1" s="69">
      <c r="A40" s="3" t="inlineStr">
        <is>
          <t>2</t>
        </is>
      </c>
      <c r="B40" s="4" t="inlineStr">
        <is>
          <t>GRAĐEVINSKI RADOVI</t>
        </is>
      </c>
      <c r="C40" s="5" t="n"/>
      <c r="D40" s="5" t="n"/>
      <c r="E40" s="5" t="n"/>
      <c r="F40" s="5" t="n"/>
    </row>
    <row r="41" ht="24" customHeight="1" s="69">
      <c r="A41" s="6" t="inlineStr">
        <is>
          <t>2.1</t>
        </is>
      </c>
      <c r="B41" s="77" t="inlineStr">
        <is>
          <t>Iskop zemlje IV-V kategorije za temeljne trake nosača. Iskop cca 1,59 m3 za svaku temeljnu traku. 3 nosača × 2 trake × 1,59 m3</t>
        </is>
      </c>
      <c r="C41" s="76" t="inlineStr">
        <is>
          <t>m3</t>
        </is>
      </c>
      <c r="D41" s="76" t="n">
        <v>9.539999999999999</v>
      </c>
      <c r="E41" s="8" t="n"/>
      <c r="F41" s="8">
        <f>IF(AND(D41&lt;&gt;"",E41&lt;&gt;""),D41*E41,"")</f>
        <v/>
      </c>
    </row>
    <row r="42">
      <c r="A42" s="6" t="inlineStr">
        <is>
          <t>2.2</t>
        </is>
      </c>
      <c r="B42" s="78" t="inlineStr">
        <is>
          <t>Zatrpavanje rova zemljom od iskopa uz nabijanje u slojevima. 3 nosača × 2 trake × 1,10 m3</t>
        </is>
      </c>
      <c r="C42" s="76" t="inlineStr">
        <is>
          <t>m3</t>
        </is>
      </c>
      <c r="D42" s="76" t="n">
        <v>6.6</v>
      </c>
      <c r="E42" s="8" t="n"/>
      <c r="F42" s="8">
        <f>IF(AND(D42&lt;&gt;"",E42&lt;&gt;""),D42*E42,"")</f>
        <v/>
      </c>
    </row>
    <row r="43" ht="24" customHeight="1" s="69">
      <c r="A43" s="6" t="inlineStr">
        <is>
          <t>2.2a</t>
        </is>
      </c>
      <c r="B43" s="77" t="inlineStr">
        <is>
          <t>Odvoz i zbrinjavanje viška materijala od iskopa do deponije udaljene do 20 km.</t>
        </is>
      </c>
      <c r="C43" s="76" t="inlineStr">
        <is>
          <t>m3</t>
        </is>
      </c>
      <c r="D43" s="76" t="n">
        <v>2.94</v>
      </c>
      <c r="E43" s="8" t="n"/>
      <c r="F43" s="8">
        <f>IF(AND(D43&lt;&gt;"",E43&lt;&gt;""),D43*E43,"")</f>
        <v/>
      </c>
    </row>
    <row r="44" ht="156" customHeight="1" s="69">
      <c r="A44" s="6" t="inlineStr">
        <is>
          <t>2.2b</t>
        </is>
      </c>
      <c r="B44" s="77" t="inlineStr">
        <is>
          <t>Nabavka materijala, transport i ugradnja podložnog betona C12/15 ispod temeljnih traka, prema zahtjevima proizvođača. 3 nosača × 2 trake × 0,094 m3</t>
        </is>
      </c>
      <c r="C44" s="76" t="inlineStr">
        <is>
          <t>m3</t>
        </is>
      </c>
      <c r="D44" s="76" t="n">
        <v>0.5600000000000001</v>
      </c>
      <c r="E44" s="8" t="n"/>
      <c r="F44" s="8">
        <f>IF(AND(D44&lt;&gt;"",E44&lt;&gt;""),D44*E44,"")</f>
        <v/>
      </c>
    </row>
    <row r="45" ht="24" customHeight="1" s="69">
      <c r="A45" s="6" t="inlineStr">
        <is>
          <t>2.3</t>
        </is>
      </c>
      <c r="B45" s="77" t="inlineStr">
        <is>
          <t>Nabavka materijala, transport i betoniranje DVIJE temeljne trake po nosaču, betonom C30/37 klase izloženosti XC4 + XF3 prema BAS EN 206 (aerant 4–6 %, Dmax 16, konzistencija S3), uz upotrebu oplate i njegovanje betona. Armatura B500B, zaštitni sloj ≥50 mm, prema ovjerenom statičkom proračunu iz Tačke 1.3. Obračun po m³ ugrađenog betona. 3 nosača × 2 trake × 0,41 m³
IZMJENA — BETON I ARMATURA: beton klase C30/37, klase izloženosti XC4 + XF3 prema BAS EN 206, sa aerantom 4–6 %, Dmax 16, konzistencija S3; podložni beton C12/15 d=50 mm; armatura B500B, zaštitni sloj ≥50 mm. Klasa XF3 je mjerodavna zbog cikličnog smrzavanja i odmrzavanja u vlažnom stanju na 1076 m n.v. Temeljna spojnica mora biti ispod dubine smrzavanja za lokalitet, koju Ponuđač navodi u ponudi. Dubina trake prema ovjerenom statičkom proračunu iz Tačke 1.3.</t>
        </is>
      </c>
      <c r="C45" s="76" t="inlineStr">
        <is>
          <t>m3</t>
        </is>
      </c>
      <c r="D45" s="76" t="n">
        <v>2.44</v>
      </c>
      <c r="E45" s="8" t="n"/>
      <c r="F45" s="8">
        <f>IF(AND(D45&lt;&gt;"",E45&lt;&gt;""),D45*E45,"")</f>
        <v/>
      </c>
    </row>
    <row r="46" s="69">
      <c r="A46" s="6" t="inlineStr">
        <is>
          <t>2.4</t>
        </is>
      </c>
      <c r="B46" s="97" t="inlineStr">
        <is>
          <t>Obrada vidljivih strana i gornje površine temeljnih traka cementnim malterom u nagibu 1,0 %, zaglađeno do crnog sjaja.</t>
        </is>
      </c>
      <c r="C46" t="inlineStr">
        <is>
          <t>m2</t>
        </is>
      </c>
      <c r="D46" t="n">
        <v>12</v>
      </c>
      <c r="F46" s="8">
        <f>IF(AND(D46&lt;&gt;"",E46&lt;&gt;""),D46*E46,"")</f>
        <v/>
      </c>
    </row>
    <row r="47" s="69">
      <c r="A47" s="6" t="inlineStr">
        <is>
          <t>2.5</t>
        </is>
      </c>
      <c r="B47" s="78" t="inlineStr">
        <is>
          <t>Ostali sitni građevinski i potrošni materijal.</t>
        </is>
      </c>
      <c r="C47" s="76" t="inlineStr">
        <is>
          <t>paušal</t>
        </is>
      </c>
      <c r="D47" s="76" t="n">
        <v>1</v>
      </c>
      <c r="E47" s="8" t="n"/>
      <c r="F47" s="8">
        <f>IF(AND(D47&lt;&gt;"",E47&lt;&gt;""),D47*E47,"")</f>
        <v/>
      </c>
    </row>
    <row r="48" s="69">
      <c r="A48" s="15" t="inlineStr">
        <is>
          <t>UKUPNO 2 — GRAĐEVINSKI RADOVI ZA NOSAČE FN PANELA:</t>
        </is>
      </c>
      <c r="B48" s="16" t="n"/>
      <c r="C48" s="16" t="n"/>
      <c r="D48" s="16" t="n"/>
      <c r="E48" s="17" t="n"/>
      <c r="F48" s="10">
        <f>SUM(F41:F47)</f>
        <v/>
      </c>
    </row>
    <row r="49" s="69"/>
    <row r="50">
      <c r="A50" s="95" t="inlineStr">
        <is>
          <t>UKUPNO LOT 1 — NOSAČI ZA FOTONAPONSKE PANELE (bez PDV-a):</t>
        </is>
      </c>
      <c r="B50" s="16" t="n"/>
      <c r="C50" s="16" t="n"/>
      <c r="D50" s="17" t="n"/>
      <c r="E50" s="17" t="n"/>
      <c r="F50" s="11">
        <f>F38+F48</f>
        <v/>
      </c>
    </row>
    <row r="51"/>
    <row r="52">
      <c r="A52" s="98" t="inlineStr">
        <is>
          <t>REKAPITULACIJA — LOT 1</t>
        </is>
      </c>
      <c r="B52" s="103" t="n"/>
      <c r="C52" s="103" t="n"/>
      <c r="D52" s="103" t="n"/>
      <c r="E52" s="104" t="n"/>
      <c r="F52" s="100" t="n"/>
    </row>
    <row r="53">
      <c r="A53" s="101" t="inlineStr">
        <is>
          <t>UKUPNO LOT 1 (bez PDV-a):</t>
        </is>
      </c>
      <c r="B53" s="103" t="n"/>
      <c r="C53" s="103" t="n"/>
      <c r="D53" s="103" t="n"/>
      <c r="E53" s="104" t="n"/>
      <c r="F53" s="102">
        <f>F50</f>
        <v/>
      </c>
    </row>
    <row r="54">
      <c r="A54" s="101" t="inlineStr">
        <is>
          <t>Popust (%):</t>
        </is>
      </c>
      <c r="B54" s="103" t="n"/>
      <c r="C54" s="103" t="n"/>
      <c r="D54" s="103" t="n"/>
      <c r="E54" s="104" t="n"/>
      <c r="F54" s="102" t="n"/>
    </row>
    <row r="55">
      <c r="A55" s="101" t="inlineStr">
        <is>
          <t>UKUPNO LOT 1 sa popustom (bez PDV-a):</t>
        </is>
      </c>
      <c r="B55" s="103" t="n"/>
      <c r="C55" s="103" t="n"/>
      <c r="D55" s="103" t="n"/>
      <c r="E55" s="104" t="n"/>
      <c r="F55" s="102">
        <f>F53*(1-IF(F54="",0,F54/100))</f>
        <v/>
      </c>
    </row>
    <row r="56">
      <c r="A56" s="101" t="inlineStr">
        <is>
          <t>PDV 17%:</t>
        </is>
      </c>
      <c r="B56" s="103" t="n"/>
      <c r="C56" s="103" t="n"/>
      <c r="D56" s="103" t="n"/>
      <c r="E56" s="104" t="n"/>
      <c r="F56" s="102">
        <f>F55*0.17</f>
        <v/>
      </c>
    </row>
    <row r="57" ht="24" customHeight="1" s="69">
      <c r="A57" s="98" t="inlineStr">
        <is>
          <t>UKUPNO LOT 1 sa PDV-om:</t>
        </is>
      </c>
      <c r="B57" s="103" t="n"/>
      <c r="C57" s="103" t="n"/>
      <c r="D57" s="103" t="n"/>
      <c r="E57" s="104" t="n"/>
      <c r="F57" s="100">
        <f>F55+F56</f>
        <v/>
      </c>
    </row>
    <row r="58"/>
    <row r="59" ht="24" customHeight="1" s="6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 ht="24" customHeight="1" s="69"/>
    <row r="84" ht="24" customHeight="1" s="69"/>
    <row r="85"/>
    <row r="86" ht="24" customHeight="1" s="69"/>
    <row r="87"/>
    <row r="88"/>
    <row r="89"/>
    <row r="90" ht="24" customHeight="1" s="69"/>
    <row r="91" ht="36" customHeight="1" s="69"/>
    <row r="92"/>
    <row r="93"/>
    <row r="94"/>
    <row r="95"/>
    <row r="96"/>
    <row r="97"/>
    <row r="98"/>
    <row r="99"/>
    <row r="100"/>
    <row r="101" ht="24" customHeight="1" s="69"/>
    <row r="102" ht="24" customHeight="1" s="69"/>
    <row r="103" ht="24" customHeight="1" s="69"/>
    <row r="104"/>
    <row r="105"/>
    <row r="106"/>
    <row r="107" ht="24" customHeight="1" s="69"/>
    <row r="108" ht="24" customHeight="1" s="69"/>
    <row r="109"/>
    <row r="110" ht="24" customHeight="1" s="69"/>
    <row r="111"/>
    <row r="112" ht="24" customHeight="1" s="69"/>
    <row r="113"/>
    <row r="114" ht="24" customHeight="1" s="69"/>
    <row r="115"/>
    <row r="116"/>
    <row r="117" ht="36" customHeight="1" s="69"/>
    <row r="118" ht="24" customHeight="1" s="69"/>
    <row r="119" ht="84" customHeight="1" s="69"/>
    <row r="120" ht="24" customHeight="1" s="69"/>
    <row r="121" ht="24" customHeight="1" s="69"/>
    <row r="122" ht="24" customHeight="1" s="69"/>
    <row r="123" ht="24" customHeight="1" s="69"/>
    <row r="124" ht="48" customHeight="1" s="69"/>
    <row r="125"/>
    <row r="126" ht="36" customHeight="1" s="69"/>
    <row r="127"/>
    <row r="128" ht="24" customHeight="1" s="69"/>
    <row r="129" ht="24" customHeight="1" s="69"/>
    <row r="130" ht="48" customHeight="1" s="69"/>
    <row r="131" ht="24" customHeight="1" s="69"/>
    <row r="132"/>
    <row r="133" ht="36" customHeight="1" s="69"/>
    <row r="134"/>
    <row r="135"/>
    <row r="136"/>
    <row r="137" ht="24" customHeight="1" s="69"/>
    <row r="138" ht="24" customHeight="1" s="69"/>
    <row r="139" ht="36" customHeight="1" s="69"/>
    <row r="140" ht="24" customHeight="1" s="69"/>
    <row r="141"/>
    <row r="142"/>
    <row r="143"/>
    <row r="144"/>
    <row r="145" ht="36" customHeight="1" s="69"/>
    <row r="146" ht="36" customHeight="1" s="69"/>
    <row r="147" ht="36" customHeight="1" s="69"/>
    <row r="148"/>
    <row r="149" ht="24" customHeight="1" s="69"/>
    <row r="150" ht="24" customHeight="1" s="69"/>
    <row r="151"/>
    <row r="152" ht="24" customHeight="1" s="69"/>
    <row r="153"/>
    <row r="154"/>
    <row r="155"/>
    <row r="156"/>
    <row r="157"/>
    <row r="158" ht="48" customHeight="1" s="69"/>
    <row r="159" ht="24" customHeight="1" s="69"/>
    <row r="160" ht="48" customHeight="1" s="69"/>
    <row r="161"/>
    <row r="162"/>
    <row r="163"/>
    <row r="164"/>
    <row r="165" ht="36" customHeight="1" s="69"/>
    <row r="166" ht="24" customHeight="1" s="69"/>
    <row r="167" ht="36" customHeight="1" s="69"/>
    <row r="168"/>
    <row r="169" ht="24" customHeight="1" s="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</sheetData>
  <mergeCells count="29">
    <mergeCell ref="A174:F174"/>
    <mergeCell ref="A183:F183"/>
    <mergeCell ref="A98:E98"/>
    <mergeCell ref="A189:F189"/>
    <mergeCell ref="A49:E49"/>
    <mergeCell ref="A178:E178"/>
    <mergeCell ref="A3:F3"/>
    <mergeCell ref="A162:E162"/>
    <mergeCell ref="A2:F2"/>
    <mergeCell ref="A172:E172"/>
    <mergeCell ref="A54:E54"/>
    <mergeCell ref="A185:F185"/>
    <mergeCell ref="A177:E177"/>
    <mergeCell ref="A188:F188"/>
    <mergeCell ref="A51:D51"/>
    <mergeCell ref="A184:F184"/>
    <mergeCell ref="A56:E56"/>
    <mergeCell ref="A190:F190"/>
    <mergeCell ref="A55:E55"/>
    <mergeCell ref="A57:E57"/>
    <mergeCell ref="A179:E179"/>
    <mergeCell ref="A181:E181"/>
    <mergeCell ref="A186:F186"/>
    <mergeCell ref="A53:E53"/>
    <mergeCell ref="A180:E180"/>
    <mergeCell ref="A134:E134"/>
    <mergeCell ref="A170:E170"/>
    <mergeCell ref="A58:E58"/>
    <mergeCell ref="A187:F187"/>
  </mergeCells>
  <printOptions horizontalCentered="1"/>
  <pageMargins left="0.75" right="0.75" top="1" bottom="1" header="0.5" footer="0.5"/>
  <pageSetup orientation="landscape"/>
  <headerFooter>
    <oddHeader>&amp;R&amp;"Times New Roman,Regular"&amp;12&amp;K000000 &amp;"Arial,Regular"&amp;10 &amp;K000000[BH Telecom | &amp;BInterno&amp;B]</oddHeader>
    <oddFooter/>
    <evenHeader>&amp;R&amp;"Times New Roman,Regular"&amp;12&amp;K000000 &amp;"Arial,Regular"&amp;10 &amp;K000000[BH Telecom | &amp;BInterno&amp;B]</evenHeader>
    <evenFooter/>
    <firstHeader>&amp;R&amp;"Times New Roman,Regular"&amp;12&amp;K000000 &amp;"Arial,Regular"&amp;10 &amp;K000000[BH Telecom | &amp;BInterno&amp;B]</firstHeader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F154"/>
  <sheetViews>
    <sheetView tabSelected="1" topLeftCell="A49" zoomScale="130" zoomScaleNormal="130" workbookViewId="0">
      <selection activeCell="B59" sqref="B59"/>
    </sheetView>
  </sheetViews>
  <sheetFormatPr baseColWidth="8" defaultRowHeight="15"/>
  <cols>
    <col width="4.7109375" customWidth="1" style="69" min="1" max="1"/>
    <col width="111.7109375" bestFit="1" customWidth="1" style="69" min="2" max="2"/>
    <col width="6.42578125" bestFit="1" customWidth="1" style="69" min="3" max="3"/>
    <col width="7.42578125" bestFit="1" customWidth="1" style="69" min="4" max="4"/>
    <col width="18.7109375" customWidth="1" style="69" min="5" max="5"/>
    <col width="19" customWidth="1" style="69" min="6" max="6"/>
  </cols>
  <sheetData>
    <row r="1">
      <c r="A1" s="68" t="inlineStr">
        <is>
          <t>PRILOG II TD</t>
        </is>
      </c>
    </row>
    <row r="2">
      <c r="A2" s="51" t="inlineStr">
        <is>
          <t>OBRAZAC ZA CIJENU PONUDE - LOT 2</t>
        </is>
      </c>
    </row>
    <row r="3">
      <c r="A3" s="51" t="inlineStr">
        <is>
          <t>INFRASTRUKTURA I INSTALACIJA OPREME ZA AUTONOMNI HIBRIDNI SISTEM NAPAJANJA SJEDNICA, BILEĆA (LOT 2)</t>
        </is>
      </c>
    </row>
    <row r="4"/>
    <row r="5">
      <c r="B5" s="1" t="inlineStr">
        <is>
          <t>Naziv Ponuđača:       __________________________________</t>
        </is>
      </c>
    </row>
    <row r="6">
      <c r="B6" s="1" t="inlineStr">
        <is>
          <t>Ponuda br.:              __________________________________</t>
        </is>
      </c>
    </row>
    <row r="7"/>
    <row r="8">
      <c r="A8" s="43" t="inlineStr">
        <is>
          <t>1</t>
        </is>
      </c>
      <c r="B8" s="44" t="inlineStr">
        <is>
          <t>2</t>
        </is>
      </c>
      <c r="C8" s="45" t="inlineStr">
        <is>
          <t>3</t>
        </is>
      </c>
      <c r="D8" s="45" t="inlineStr">
        <is>
          <t>4</t>
        </is>
      </c>
      <c r="E8" s="45" t="inlineStr">
        <is>
          <t>5</t>
        </is>
      </c>
      <c r="F8" s="46" t="inlineStr">
        <is>
          <t>6</t>
        </is>
      </c>
    </row>
    <row r="9" ht="24" customHeight="1" s="69">
      <c r="A9" s="47" t="inlineStr">
        <is>
          <t>r.br.</t>
        </is>
      </c>
      <c r="B9" s="48" t="inlineStr">
        <is>
          <t>Opis stavke</t>
        </is>
      </c>
      <c r="C9" s="49" t="inlineStr">
        <is>
          <t>Jed. mjere</t>
        </is>
      </c>
      <c r="D9" s="49" t="inlineStr">
        <is>
          <t>Količina</t>
        </is>
      </c>
      <c r="E9" s="49" t="inlineStr">
        <is>
          <t>Jed. cijena u KM bez PDV-a</t>
        </is>
      </c>
      <c r="F9" s="50" t="inlineStr">
        <is>
          <t>Ukupna cijena u KM bez PDV-a  6=(4x5)</t>
        </is>
      </c>
    </row>
    <row r="10">
      <c r="A10" s="71" t="n"/>
      <c r="B10" s="71" t="inlineStr">
        <is>
          <t>LOT 2 - INSTALACIJA AGREGATSKOG POSTROJENJA ZA HIBRIDNI SISTEM NAPAJANJA</t>
        </is>
      </c>
      <c r="C10" s="72" t="n"/>
      <c r="D10" s="72" t="n"/>
      <c r="E10" s="72" t="n"/>
      <c r="F10" s="73" t="n"/>
    </row>
    <row r="11">
      <c r="A11" s="3" t="n">
        <v>1</v>
      </c>
      <c r="B11" s="4" t="inlineStr">
        <is>
          <t>AUTOMATSKI DIZEL ELEKTRIČNI AGREGAT (DEA)</t>
        </is>
      </c>
      <c r="C11" s="5" t="n"/>
      <c r="D11" s="5" t="n"/>
      <c r="E11" s="5" t="n"/>
      <c r="F11" s="5" t="n"/>
    </row>
    <row r="12">
      <c r="A12" s="6" t="n">
        <v>1.1</v>
      </c>
      <c r="B12" s="7" t="inlineStr">
        <is>
          <t>Isporuka automatskog DEA karakteristika:</t>
        </is>
      </c>
      <c r="C12" s="6" t="inlineStr">
        <is>
          <t>kpl</t>
        </is>
      </c>
      <c r="D12" s="6" t="n">
        <v>1</v>
      </c>
      <c r="E12" s="8" t="n"/>
      <c r="F12" s="8">
        <f>IF(AND(D12&lt;&gt;"",E12&lt;&gt;""),D12*E12,"")</f>
        <v/>
      </c>
    </row>
    <row r="13">
      <c r="A13" s="9" t="n"/>
      <c r="B13" s="63" t="inlineStr">
        <is>
          <t xml:space="preserve"> - snaga 22 kVA / 17,6 kW (±5%) pri cosφ=0,8, režim rada Stand-by (ISO 8528-3)</t>
        </is>
      </c>
      <c r="C13" s="9" t="n"/>
      <c r="D13" s="9" t="n"/>
      <c r="E13" s="9" t="n"/>
      <c r="F13" s="9" t="n"/>
    </row>
    <row r="14">
      <c r="A14" s="9" t="n"/>
      <c r="B14" s="63" t="inlineStr">
        <is>
          <t xml:space="preserve">   kao FG Wilson P22-6 ili ekvivalent</t>
        </is>
      </c>
      <c r="C14" s="9" t="n"/>
      <c r="D14" s="9" t="n"/>
      <c r="E14" s="9" t="n"/>
      <c r="F14" s="9" t="n"/>
    </row>
    <row r="15">
      <c r="A15" s="9" t="n"/>
      <c r="B15" s="7" t="inlineStr">
        <is>
          <t xml:space="preserve"> - DEA mora imati pouzdan start i rad pri niskim temperaturama do -20 °C</t>
        </is>
      </c>
      <c r="C15" s="9" t="n"/>
      <c r="D15" s="9" t="n"/>
      <c r="E15" s="9" t="n"/>
      <c r="F15" s="9" t="n"/>
    </row>
    <row r="16" ht="24" customHeight="1" s="69">
      <c r="A16" s="9" t="n"/>
      <c r="B16" s="63" t="inlineStr">
        <is>
          <t xml:space="preserve"> - nominalna snaga prema ISO 3046 za nadmorsku visinu preko 1000 m (lokacija 1076 m n.v.); ponuđač je dužan prikazati derating snage za nadmorsku visinu i temperaturu</t>
        </is>
      </c>
      <c r="C16" s="9" t="n"/>
      <c r="D16" s="9" t="n"/>
      <c r="E16" s="9" t="n"/>
      <c r="F16" s="9" t="n"/>
    </row>
    <row r="17">
      <c r="A17" s="9" t="n"/>
      <c r="B17" s="7" t="inlineStr">
        <is>
          <t>Dizel motor (DM)</t>
        </is>
      </c>
      <c r="C17" s="9" t="n"/>
      <c r="D17" s="9" t="n"/>
      <c r="E17" s="9" t="n"/>
      <c r="F17" s="9" t="n"/>
    </row>
    <row r="18">
      <c r="A18" s="9" t="n"/>
      <c r="B18" s="7" t="inlineStr">
        <is>
          <t xml:space="preserve"> - proizvođač: Perkins, Cummins, Cat®, Deutz, John Deere</t>
        </is>
      </c>
      <c r="C18" s="9" t="n"/>
      <c r="D18" s="9" t="n"/>
      <c r="E18" s="9" t="n"/>
      <c r="F18" s="9" t="n"/>
    </row>
    <row r="19">
      <c r="A19" s="9" t="n"/>
      <c r="B19" s="7" t="inlineStr">
        <is>
          <t xml:space="preserve"> - vrsta: četverotaktni linijski DM sa direktnim ubrizgavanjem goriva, vodeno hlađen</t>
        </is>
      </c>
      <c r="C19" s="9" t="n"/>
      <c r="D19" s="9" t="n"/>
      <c r="E19" s="9" t="n"/>
      <c r="F19" s="9" t="n"/>
    </row>
    <row r="20">
      <c r="A20" s="9" t="n"/>
      <c r="B20" s="7" t="inlineStr">
        <is>
          <t xml:space="preserve"> - radni zapremina cca 2,2 l, mehanički regulator broja obrtaja</t>
        </is>
      </c>
      <c r="C20" s="9" t="n"/>
      <c r="D20" s="9" t="n"/>
      <c r="E20" s="9" t="n"/>
      <c r="F20" s="9" t="n"/>
    </row>
    <row r="21">
      <c r="A21" s="9" t="n"/>
      <c r="B21" s="7" t="inlineStr">
        <is>
          <t xml:space="preserve"> - gorivo: BAS EN 590</t>
        </is>
      </c>
      <c r="C21" s="9" t="n"/>
      <c r="D21" s="9" t="n"/>
      <c r="E21" s="9" t="n"/>
      <c r="F21" s="9" t="n"/>
    </row>
    <row r="22">
      <c r="A22" s="9" t="n"/>
      <c r="B22" s="7" t="inlineStr">
        <is>
          <t xml:space="preserve"> - pokretanje: elektropokretač 12 VDC; regulator brzine 1500 o/min</t>
        </is>
      </c>
      <c r="C22" s="9" t="n"/>
      <c r="D22" s="9" t="n"/>
      <c r="E22" s="9" t="n"/>
      <c r="F22" s="9" t="n"/>
    </row>
    <row r="23">
      <c r="A23" s="9" t="n"/>
      <c r="B23" s="7" t="inlineStr">
        <is>
          <t xml:space="preserve"> - senzor temperature rashladne tečnosti, senzor pritiska ulja, start/stop relej</t>
        </is>
      </c>
      <c r="C23" s="9" t="n"/>
      <c r="D23" s="9" t="n"/>
      <c r="E23" s="9" t="n"/>
      <c r="F23" s="9" t="n"/>
    </row>
    <row r="24">
      <c r="A24" s="9" t="n"/>
      <c r="B24" s="7" t="inlineStr">
        <is>
          <t xml:space="preserve"> - filter ulja, filter zraka, filter goriva</t>
        </is>
      </c>
      <c r="C24" s="9" t="n"/>
      <c r="D24" s="9" t="n"/>
      <c r="E24" s="9" t="n"/>
      <c r="F24" s="9" t="n"/>
    </row>
    <row r="25">
      <c r="A25" s="9" t="n"/>
      <c r="B25" s="7" t="inlineStr">
        <is>
          <t xml:space="preserve"> - dobavna pumpa goriva, samousisna, 12 VDC</t>
        </is>
      </c>
      <c r="C25" s="9" t="n"/>
      <c r="D25" s="9" t="n"/>
      <c r="E25" s="9" t="n"/>
      <c r="F25" s="9" t="n"/>
    </row>
    <row r="26">
      <c r="A26" s="9" t="n"/>
      <c r="B26" s="7" t="inlineStr">
        <is>
          <t xml:space="preserve"> - GRIJAČ RASHLADNE TEČNOSTI 230 V sa podesivim termostatom (obavezno — zimski rad)</t>
        </is>
      </c>
      <c r="C26" s="9" t="n"/>
      <c r="D26" s="9" t="n"/>
      <c r="E26" s="9" t="n"/>
      <c r="F26" s="9" t="n"/>
    </row>
    <row r="27">
      <c r="A27" s="9" t="n"/>
      <c r="B27" s="7" t="inlineStr">
        <is>
          <t xml:space="preserve">   kao Perkins 404D-22G1 ili ekvivalent</t>
        </is>
      </c>
      <c r="C27" s="9" t="n"/>
      <c r="D27" s="9" t="n"/>
      <c r="E27" s="9" t="n"/>
      <c r="F27" s="9" t="n"/>
    </row>
    <row r="28">
      <c r="A28" s="9" t="n"/>
      <c r="B28" s="7" t="inlineStr">
        <is>
          <t>Generator</t>
        </is>
      </c>
      <c r="C28" s="9" t="n"/>
      <c r="D28" s="9" t="n"/>
      <c r="E28" s="9" t="n"/>
      <c r="F28" s="9" t="n"/>
    </row>
    <row r="29">
      <c r="A29" s="9" t="n"/>
      <c r="B29" s="7" t="inlineStr">
        <is>
          <t xml:space="preserve"> - proizvođač: Stamford, Leroy-Somer, Mecc Alte, Marelli</t>
        </is>
      </c>
      <c r="C29" s="9" t="n"/>
      <c r="D29" s="9" t="n"/>
      <c r="E29" s="9" t="n"/>
      <c r="F29" s="9" t="n"/>
    </row>
    <row r="30">
      <c r="A30" s="9" t="n"/>
      <c r="B30" s="7" t="inlineStr">
        <is>
          <t xml:space="preserve"> - propisi: VDE 0530, IEC 60034-1; trofazni, sinhroni, samouzbudni, bezčetkični</t>
        </is>
      </c>
      <c r="C30" s="9" t="n"/>
      <c r="D30" s="9" t="n"/>
      <c r="E30" s="9" t="n"/>
      <c r="F30" s="9" t="n"/>
    </row>
    <row r="31">
      <c r="A31" s="9" t="n"/>
      <c r="B31" s="7" t="inlineStr">
        <is>
          <t xml:space="preserve"> - nazivna snaga 22 kVA uz cos φ = 0,8;  1500 o/min;  3×400/230 V;  50 Hz</t>
        </is>
      </c>
      <c r="C31" s="9" t="n"/>
      <c r="D31" s="9" t="n"/>
      <c r="E31" s="9" t="n"/>
      <c r="F31" s="9" t="n"/>
    </row>
    <row r="32">
      <c r="A32" s="9" t="n"/>
      <c r="B32" s="7" t="inlineStr">
        <is>
          <t xml:space="preserve"> - zaštita IP23, klasa izolacije H, AVR regulacija ±1%, THDv 5%
 - POBUDA (OBAVEZNO): nezavisni sistem pobude — PMG (permanentni magnet) ili AREP/AUX namotaj. Generator mora održavati struju kratkog spoja najmanje 3 × In (≈95 A pri 22 kVA / 400 V) u trajanju od najmanje 10 s, prema ISO 8528-3. NAPOMENA: standardna SHUNT pobuda NIJE prihvatljiva — kod nje se pri kvaru napon na stezaljkama uruši, pobuda nestaje i trajna struja kvara pada na ≈0,5 × In (16 A), što je ISPOD nazivne struje i ne može aktivirati nijednu prekostrujnu zaštitu. Ponuđač dostavlja podatak o trajnoj struji kratkog spoja iz tehničkog lista proizvođača.</t>
        </is>
      </c>
      <c r="C32" s="9" t="n"/>
      <c r="D32" s="9" t="n"/>
      <c r="E32" s="9" t="n"/>
      <c r="F32" s="9" t="n"/>
    </row>
    <row r="33">
      <c r="A33" s="9" t="n"/>
      <c r="B33" s="7" t="inlineStr">
        <is>
          <t xml:space="preserve"> - dozvoljena struja kratkog spoja 3×In u trajanju 10 s</t>
        </is>
      </c>
      <c r="C33" s="9" t="n"/>
      <c r="D33" s="9" t="n"/>
      <c r="E33" s="9" t="n"/>
      <c r="F33" s="9" t="n"/>
    </row>
    <row r="34">
      <c r="A34" s="9" t="n"/>
      <c r="B34" s="7" t="inlineStr">
        <is>
          <t xml:space="preserve">    kao Stamford BCI164C U IZVEDBI SA PMG ILI AREP/AUX POBUDOM, ili ekvivalent — standardna SHUNT izvedba NIJE prihvatljiva (v. zahtjev za pobudu iznad)</t>
        </is>
      </c>
      <c r="C34" s="9" t="n"/>
      <c r="D34" s="9" t="n"/>
      <c r="E34" s="9" t="n"/>
      <c r="F34" s="9" t="n"/>
    </row>
    <row r="35">
      <c r="A35" s="9" t="n"/>
      <c r="B35" s="7" t="inlineStr">
        <is>
          <t>Komandni ormar agregata (KOA)</t>
        </is>
      </c>
      <c r="C35" s="9" t="n"/>
      <c r="D35" s="9" t="n"/>
      <c r="E35" s="9" t="n"/>
      <c r="F35" s="9" t="n"/>
    </row>
    <row r="36">
      <c r="A36" s="9" t="n"/>
      <c r="B36" s="7" t="inlineStr">
        <is>
          <t xml:space="preserve"> - limeni, zabravljen, mehaničke zaštite min. IP41, svi priključci odozdo</t>
        </is>
      </c>
      <c r="C36" s="9" t="n"/>
      <c r="D36" s="9" t="n"/>
      <c r="E36" s="9" t="n"/>
      <c r="F36" s="9" t="n"/>
    </row>
    <row r="37">
      <c r="A37" s="9" t="n"/>
      <c r="B37" s="7" t="inlineStr">
        <is>
          <t xml:space="preserve"> - sabirnice L1, L2, L3, N i PE (N i PE spojene samo na jednom mjestu)</t>
        </is>
      </c>
      <c r="C37" s="9" t="n"/>
      <c r="D37" s="9" t="n"/>
      <c r="E37" s="9" t="n"/>
      <c r="F37" s="9" t="n"/>
    </row>
    <row r="38">
      <c r="A38" s="9" t="n"/>
      <c r="B38" s="7" t="inlineStr">
        <is>
          <t xml:space="preserve"> - neovisan strujni krug za grijač dizel motora, servisna utičnica 230 V AC, rasvjeta KOA</t>
        </is>
      </c>
      <c r="C38" s="9" t="n"/>
      <c r="D38" s="9" t="n"/>
      <c r="E38" s="9" t="n"/>
      <c r="F38" s="9" t="n"/>
    </row>
    <row r="39">
      <c r="A39" s="9" t="n"/>
      <c r="B39" s="7" t="inlineStr">
        <is>
          <t>Komutacija i upravljanje — VAŽNO: LOKACIJA NIJE PRIKLJUČENA NA ELEKTROENERGETSKU MREŽU</t>
        </is>
      </c>
      <c r="C39" s="9" t="n"/>
      <c r="D39" s="9" t="n"/>
      <c r="E39" s="9" t="n"/>
      <c r="F39" s="9" t="n"/>
    </row>
    <row r="40">
      <c r="A40" s="9" t="n"/>
      <c r="B40" s="7" t="inlineStr">
        <is>
          <t xml:space="preserve"> - NE predviđa se mrežni sklopnik niti izbor izvora "mreža"; komutacija se izvodi između hibridnog sistema napajanja i agregata</t>
        </is>
      </c>
      <c r="C40" s="9" t="n"/>
      <c r="D40" s="9" t="n"/>
      <c r="E40" s="9" t="n"/>
      <c r="F40" s="9" t="n"/>
    </row>
    <row r="41" ht="24" customHeight="1" s="69">
      <c r="A41" s="9" t="n"/>
      <c r="B41" s="7" t="inlineStr">
        <is>
          <t xml:space="preserve"> - start/stop DEA komanduje se iz Huawei kontrolno-upravljačkog sistema preko modula GIM01C1, po kriteriju stanja napunjenosti baterija (SoC), a NE po ispadu mrežnog napona</t>
        </is>
      </c>
      <c r="C41" s="9" t="n"/>
      <c r="D41" s="9" t="n"/>
      <c r="E41" s="9" t="n"/>
      <c r="F41" s="9" t="n"/>
    </row>
    <row r="42">
      <c r="A42" s="9" t="n"/>
      <c r="B42" s="7" t="inlineStr">
        <is>
          <t xml:space="preserve"> - izlaz agregata vodi se na AC ulazni modul AIU03 hibridnog sistema</t>
        </is>
      </c>
      <c r="C42" s="9" t="n"/>
      <c r="D42" s="9" t="n"/>
      <c r="E42" s="9" t="n"/>
      <c r="F42" s="9" t="n"/>
    </row>
    <row r="43" ht="24" customHeight="1" s="69">
      <c r="A43" s="9" t="n"/>
      <c r="B43" s="7" t="inlineStr">
        <is>
          <t xml:space="preserve"> - ulazna snaga ispravljača mora biti ograničena u kontroleru na vrijednost koja ne preopterećuje DEA (3 × R4875G5 = 12 kW); ponuđač dokazuje usklađenost proračunom</t>
        </is>
      </c>
      <c r="C43" s="9" t="n"/>
      <c r="D43" s="9" t="n"/>
      <c r="E43" s="9" t="n"/>
      <c r="F43" s="9" t="n"/>
    </row>
    <row r="44">
      <c r="A44" s="9" t="n"/>
      <c r="B44" s="7" t="inlineStr">
        <is>
          <t>Kontroler i nadzor</t>
        </is>
      </c>
      <c r="C44" s="9" t="n"/>
      <c r="D44" s="9" t="n"/>
      <c r="E44" s="9" t="n"/>
      <c r="F44" s="9" t="n"/>
    </row>
    <row r="45">
      <c r="A45" s="9" t="n"/>
      <c r="B45" s="7" t="inlineStr">
        <is>
          <t xml:space="preserve"> - interfejs: RS232, RS485, Ethernet (RJ45), USB;  protokoli: Modbus RTU, Modbus TCP, SNMP, SMS</t>
        </is>
      </c>
      <c r="C45" s="9" t="n"/>
      <c r="D45" s="9" t="n"/>
      <c r="E45" s="9" t="n"/>
      <c r="F45" s="9" t="n"/>
    </row>
    <row r="46">
      <c r="A46" s="9" t="n"/>
      <c r="B46" s="7" t="inlineStr">
        <is>
          <t xml:space="preserve"> - integracija u krovni sistem nadzora BH Telecom-a (SCADA — Ignition) putem SNMP / Modbus TCP / Web REST API</t>
        </is>
      </c>
      <c r="C46" s="9" t="n"/>
      <c r="D46" s="9" t="n"/>
      <c r="E46" s="9" t="n"/>
      <c r="F46" s="9" t="n"/>
    </row>
    <row r="47" ht="24" customHeight="1" s="69">
      <c r="A47" s="9" t="n"/>
      <c r="B47" s="7" t="inlineStr">
        <is>
          <t xml:space="preserve"> - mjerenja: pritisak ulja, temperatura rashladnog sredstva, nivo goriva, napon i struja generatora po fazama, snaga, frekvencija, napon akumulatora, vrijeme rada motora</t>
        </is>
      </c>
      <c r="C47" s="9" t="n"/>
      <c r="D47" s="9" t="n"/>
      <c r="E47" s="9" t="n"/>
      <c r="F47" s="9" t="n"/>
    </row>
    <row r="48" ht="24" customHeight="1" s="69">
      <c r="A48" s="9" t="n"/>
      <c r="B48" s="7" t="inlineStr">
        <is>
          <t xml:space="preserve"> - alarmi: hitno zaustavljanje, nizak pritisak ulja, visoka/niska temperatura, pod/prekomjerna brzina, nizak/visok napon generatora i baterije, kvar alternatora, neuspješno pokretanje i zaustavljanje, NIZAK NIVO GORIVA, DETEKCIJA CURENJA GORIVA, POŽAR</t>
        </is>
      </c>
      <c r="C48" s="9" t="n"/>
      <c r="D48" s="9" t="n"/>
      <c r="E48" s="9" t="n"/>
      <c r="F48" s="9" t="n"/>
    </row>
    <row r="49">
      <c r="A49" s="9" t="n"/>
      <c r="B49" s="7" t="inlineStr">
        <is>
          <t xml:space="preserve"> - režimi rada: automatski, ručni, testni</t>
        </is>
      </c>
      <c r="C49" s="9" t="n"/>
      <c r="D49" s="9" t="n"/>
      <c r="E49" s="9" t="n"/>
      <c r="F49" s="9" t="n"/>
    </row>
    <row r="50">
      <c r="A50" s="9" t="n"/>
      <c r="B50" s="7" t="inlineStr">
        <is>
          <t xml:space="preserve">   kao Deep Sea Electronics DSE 7420 MKII ili ekvivalent</t>
        </is>
      </c>
      <c r="C50" s="9" t="n"/>
      <c r="D50" s="9" t="n"/>
      <c r="E50" s="9" t="n"/>
      <c r="F50" s="9" t="n"/>
    </row>
    <row r="51">
      <c r="A51" s="9" t="n"/>
      <c r="B51" s="7" t="inlineStr">
        <is>
          <t>Ostala oprema</t>
        </is>
      </c>
      <c r="C51" s="9" t="n"/>
      <c r="D51" s="9" t="n"/>
      <c r="E51" s="9" t="n"/>
      <c r="F51" s="9" t="n"/>
    </row>
    <row r="52">
      <c r="A52" s="9" t="n"/>
      <c r="B52" s="7" t="inlineStr">
        <is>
          <t xml:space="preserve"> - start baterija 12 V, 70 Ah</t>
        </is>
      </c>
      <c r="C52" s="9" t="n"/>
      <c r="D52" s="9" t="n"/>
      <c r="E52" s="9" t="n"/>
      <c r="F52" s="9" t="n"/>
    </row>
    <row r="53">
      <c r="A53" s="9" t="n"/>
      <c r="B53" s="7" t="inlineStr">
        <is>
          <t xml:space="preserve"> - punjač start baterije 12 V, 5 A, 230 V, programabilni, sa dojavom kvara, uvezan sa kontrolerom</t>
        </is>
      </c>
      <c r="C53" s="9" t="n"/>
      <c r="D53" s="9" t="n"/>
      <c r="E53" s="9" t="n"/>
      <c r="F53" s="9" t="n"/>
    </row>
    <row r="54">
      <c r="A54" s="6" t="inlineStr">
        <is>
          <t>3.2</t>
        </is>
      </c>
      <c r="B54" s="7" t="inlineStr">
        <is>
          <t>Set rezervnih dijelova za 500 sati rada DEA po preporuci proizvođača.</t>
        </is>
      </c>
      <c r="C54" s="6" t="inlineStr">
        <is>
          <t>kpl</t>
        </is>
      </c>
      <c r="D54" s="6" t="n">
        <v>1</v>
      </c>
      <c r="E54" s="8" t="n"/>
      <c r="F54" s="8">
        <f>IF(AND(D54&lt;&gt;"",E54&lt;&gt;""),D54*E54,"")</f>
        <v/>
      </c>
    </row>
    <row r="55">
      <c r="A55" s="15" t="inlineStr">
        <is>
          <t>UKUPNO 3 — AUTOMATSKI DIZEL ELEKTRIČNI AGREGAT (DEA):</t>
        </is>
      </c>
      <c r="B55" s="16" t="n"/>
      <c r="C55" s="16" t="n"/>
      <c r="D55" s="16" t="n"/>
      <c r="E55" s="17" t="n"/>
      <c r="F55" s="10">
        <f>SUM(F12:F54)</f>
        <v/>
      </c>
    </row>
    <row r="56"/>
    <row r="57">
      <c r="A57" s="3" t="inlineStr">
        <is>
          <t>4</t>
        </is>
      </c>
      <c r="B57" s="4" t="inlineStr">
        <is>
          <t>AGREGAT ZA MONTAŽU U POSTOJEĆI KONTEJNER</t>
        </is>
      </c>
      <c r="C57" s="5" t="n"/>
      <c r="D57" s="5" t="n"/>
      <c r="E57" s="5" t="n"/>
      <c r="F57" s="5" t="n"/>
    </row>
    <row r="58" ht="36" customHeight="1" s="69">
      <c r="A58" s="9" t="n"/>
      <c r="B58" s="61" t="inlineStr">
        <is>
          <t>Opšte napomene  NOSIVOST PODA KONTEJNERA: mjerodavna projektna vrijednost je 2,00 kN/m² prema Projektnom zadatku. Ranije navedenih 10,00 kN/m² preuzeto je iz statičkog proračuna tipskog kontejnera K3, a na ovoj lokaciji ugrađen je kontejner tipa K2, pa ta vrijednost NIJE mjerodavna. Agregat (385 kg mokro na 0,96 m² = 3,93 kN/m²) i pun spremnik (≈590 kg na 0,63 m² = 9,2 kN/m²) oba prekoračuju projektnu nosivost, zbog čega je OBAVEZAN čelični ram/roštilj za raznošenje opterećenja ispod skida I ispod tankvane, sa prenosom opterećenja na temeljnu konstrukciju, dokazan statičkim proračunom iz Tačke 4.4.Napomena uz Tačku 4: DEA se ugrađuje u postojeći kontejner na lokaciji, u "inside skid" izvedbi (agregat na zajedničkom nosivom skid-okviru, bez vlastitog vanjskog kućišta, jer funkciju kućišta preuzima kontejner). Referentna izvedba data je u Prilogu III</t>
        </is>
      </c>
      <c r="C58" s="9" t="n"/>
      <c r="D58" s="9" t="n"/>
      <c r="E58" s="9" t="n"/>
      <c r="F58" s="9" t="n"/>
    </row>
    <row r="59" ht="24" customHeight="1" s="69">
      <c r="A59" s="6" t="inlineStr">
        <is>
          <t>4.1</t>
        </is>
      </c>
      <c r="B59" s="7" t="inlineStr">
        <is>
          <t>Isporuka i montaža automatskog DEA opisanog pod Tačkom 3.1 u postojeći kontejner, u skid izvedbi, na antivibracionim osloncima sa pripremom za pričvršćenje za podlogu.</t>
        </is>
      </c>
      <c r="C59" s="6" t="inlineStr">
        <is>
          <t>kpl</t>
        </is>
      </c>
      <c r="D59" s="6" t="n">
        <v>1</v>
      </c>
      <c r="E59" s="8" t="n"/>
      <c r="F59" s="8">
        <f>IF(AND(D59&lt;&gt;"",E59&lt;&gt;""),D59*E59,"")</f>
        <v/>
      </c>
    </row>
    <row r="60" ht="24" customHeight="1" s="69">
      <c r="A60" s="9" t="n"/>
      <c r="B60" s="7" t="inlineStr">
        <is>
          <t xml:space="preserve"> - PRISTUP: unos agregata vrši se kroz kapiju na sredini istočne strane ograde i kroz ulazna vrata kontejnera (svijetla širina cca 1,00 m; vrata 900 × 2000 mm). Ponuđač bira način unosa i montaže i dužan je u ponudi potvrditi izvodljivost.</t>
        </is>
      </c>
      <c r="C60" s="9" t="n"/>
      <c r="D60" s="9" t="n"/>
      <c r="E60" s="9" t="n"/>
      <c r="F60" s="9" t="n"/>
    </row>
    <row r="61">
      <c r="A61" s="9" t="n"/>
      <c r="B61" s="7" t="inlineStr">
        <is>
          <t xml:space="preserve"> - dimenzije skida prilagoditi raspoloživom prostoru, uz obavezan servisni pristup</t>
        </is>
      </c>
      <c r="C61" s="9" t="n"/>
      <c r="D61" s="9" t="n"/>
      <c r="E61" s="9" t="n"/>
      <c r="F61" s="9" t="n"/>
    </row>
    <row r="62">
      <c r="A62" s="9" t="n"/>
      <c r="B62" s="7" t="inlineStr">
        <is>
          <t xml:space="preserve"> - dozvoljeni nivo buke izvan kontejnera: &lt;68 dBA pri opterećenju 75 % na 7 m, režim Standby</t>
        </is>
      </c>
      <c r="C62" s="9" t="n"/>
      <c r="D62" s="9" t="n"/>
      <c r="E62" s="9" t="n"/>
      <c r="F62" s="9" t="n"/>
    </row>
    <row r="63">
      <c r="A63" s="9" t="n"/>
      <c r="B63" s="7" t="inlineStr">
        <is>
          <t xml:space="preserve"> - taster EMERGENCY STOP uz ulazna vrata kontejnera</t>
        </is>
      </c>
      <c r="C63" s="9" t="n"/>
      <c r="D63" s="9" t="n"/>
      <c r="E63" s="9" t="n"/>
      <c r="F63" s="9" t="n"/>
    </row>
    <row r="64" ht="24" customHeight="1" s="69">
      <c r="A64" s="6" t="inlineStr">
        <is>
          <t>4.2</t>
        </is>
      </c>
      <c r="B64" s="7" t="inlineStr">
        <is>
          <t>Isporuka, montaža i povezivanje dvoplašnog spremnika dizel goriva zapremine 500 l (0,5 m³), izrađenog od čeličnog lima, sa svim spojnim priborom, cjevovodima i armaturama.
 - referentne dimenzije spremnika 1050 × 600 × 1310 mm, masa prazan 170 kg (pun ≈590 kg); smještaj uz SJEVERNI zid kontejnera u tankvani iz Tačke 4.3, prema crtežu M-01</t>
        </is>
      </c>
      <c r="C64" s="6" t="inlineStr">
        <is>
          <t>kpl</t>
        </is>
      </c>
      <c r="D64" s="6" t="n">
        <v>1</v>
      </c>
      <c r="E64" s="8" t="n"/>
      <c r="F64" s="8">
        <f>IF(AND(D64&lt;&gt;"",E64&lt;&gt;""),D64*E64,"")</f>
        <v/>
      </c>
    </row>
    <row r="65" ht="24" customHeight="1" s="69">
      <c r="A65" s="9" t="n"/>
      <c r="B65" s="7" t="inlineStr">
        <is>
          <t xml:space="preserve"> - odušna (odzračna) cijev izvedena IZVAN kontejnera, otvor zaštićen metalnom mrežicom; odzračni cjevovod od čeličnih bešavnih cijevi prema DIN 2448 sa odzračnim ventilom tip AT</t>
        </is>
      </c>
      <c r="C65" s="9" t="n"/>
      <c r="D65" s="9" t="n"/>
      <c r="E65" s="9" t="n"/>
      <c r="F65" s="9" t="n"/>
    </row>
    <row r="66">
      <c r="A66" s="9" t="n"/>
      <c r="B66" s="7" t="inlineStr">
        <is>
          <t xml:space="preserve"> - priključak za punjenje rezervoara sa zatvaračem, izveden na vanjskoj strani kontejnera</t>
        </is>
      </c>
      <c r="C66" s="9" t="n"/>
      <c r="D66" s="9" t="n"/>
      <c r="E66" s="9" t="n"/>
      <c r="F66" s="9" t="n"/>
    </row>
    <row r="67" ht="24" customHeight="1" s="69">
      <c r="A67" s="9" t="n"/>
      <c r="B67" s="7" t="inlineStr">
        <is>
          <t xml:space="preserve"> - na lokaciji obezbijediti mogućnost prilaza autocisterne za punjenje, a na pretakalištu ugraditi uređaj za odvođenje statičkog elektriciteta sa autocisterne</t>
        </is>
      </c>
      <c r="C67" s="9" t="n"/>
      <c r="D67" s="9" t="n"/>
      <c r="E67" s="9" t="n"/>
      <c r="F67" s="9" t="n"/>
    </row>
    <row r="68">
      <c r="A68" s="9" t="n"/>
      <c r="B68" s="7" t="inlineStr">
        <is>
          <t xml:space="preserve"> - priključak za pražnjenje rezervoara sa zatvaračem i priključkom za crijevo</t>
        </is>
      </c>
      <c r="C68" s="9" t="n"/>
      <c r="D68" s="9" t="n"/>
      <c r="E68" s="9" t="n"/>
      <c r="F68" s="9" t="n"/>
    </row>
    <row r="69" ht="24" customHeight="1" s="69">
      <c r="A69" s="9" t="n"/>
      <c r="B69" s="7" t="inlineStr">
        <is>
          <t xml:space="preserve"> - DVA uređaja za mjerenje nivoa goriva koji rade nezavisno jedan od drugog, sa različitim principom prikazivanja nivoa tečnosti; nivo goriva se prosljeđuje u nadzorni centar</t>
        </is>
      </c>
      <c r="C69" s="9" t="n"/>
      <c r="D69" s="9" t="n"/>
      <c r="E69" s="9" t="n"/>
      <c r="F69" s="9" t="n"/>
    </row>
    <row r="70">
      <c r="A70" s="9" t="n"/>
      <c r="B70" s="7" t="inlineStr">
        <is>
          <t xml:space="preserve"> - sonda za detekciju curenja goriva u međuplaštu</t>
        </is>
      </c>
      <c r="C70" s="9" t="n"/>
      <c r="D70" s="9" t="n"/>
      <c r="E70" s="9" t="n"/>
      <c r="F70" s="9" t="n"/>
    </row>
    <row r="71">
      <c r="A71" s="9" t="n"/>
      <c r="B71" s="7" t="inlineStr">
        <is>
          <t xml:space="preserve"> - pločica sa osnovnim tehničkim podacima (proizvođač, tvornički broj, tip, godina izrade, materijal, ispitni pritisak, zapremina)</t>
        </is>
      </c>
      <c r="C71" s="9" t="n"/>
      <c r="D71" s="9" t="n"/>
      <c r="E71" s="9" t="n"/>
      <c r="F71" s="9" t="n"/>
    </row>
    <row r="72">
      <c r="A72" s="9" t="n"/>
      <c r="B72" s="7" t="inlineStr">
        <is>
          <t xml:space="preserve"> - napajanje motora gorivom kroz Cu cijevi NO 8 mm (polazni i povratni vod)</t>
        </is>
      </c>
      <c r="C72" s="9" t="n"/>
      <c r="D72" s="9" t="n"/>
      <c r="E72" s="9" t="n"/>
      <c r="F72" s="9" t="n"/>
    </row>
    <row r="73">
      <c r="A73" s="9" t="n"/>
      <c r="B73" s="7" t="inlineStr">
        <is>
          <t xml:space="preserve"> - spremnik strukturno ojačan i zaštićen od krađe goriva</t>
        </is>
      </c>
      <c r="C73" s="9" t="n"/>
      <c r="D73" s="9" t="n"/>
      <c r="E73" s="9" t="n"/>
      <c r="F73" s="9" t="n"/>
    </row>
    <row r="74" ht="36" customHeight="1" s="69">
      <c r="A74" s="9" t="n"/>
      <c r="B74" s="7" t="inlineStr">
        <is>
          <t>Zapremina spremnika je 500 l i nije predmet varijantnih rješenja. Ukoliko statički proračun iz Tačke 4.4 pokaže da postojeća podna konstrukcija ne prihvata opterećenje skida i punog spremnika, izvodi se OJAČANJE poda prema Tački 4.4 — zapremina spremnika se NE umanjuje.</t>
        </is>
      </c>
      <c r="C74" s="9" t="n"/>
      <c r="D74" s="9" t="n"/>
      <c r="E74" s="9" t="n"/>
      <c r="F74" s="9" t="n"/>
    </row>
    <row r="75" ht="24" customHeight="1" s="69">
      <c r="A75" s="6" t="inlineStr">
        <is>
          <t>4.3</t>
        </is>
      </c>
      <c r="B75" s="7" t="inlineStr">
        <is>
          <t>Izrada i montaža prihvatnog korita (tankvane) ispod spremnika i agregata, zapremine min. 110 % zapremine spremnika, od čeličnog lima sa zaštitom otpornom na dizel gorivo.</t>
        </is>
      </c>
      <c r="C75" s="6" t="inlineStr">
        <is>
          <t>kpl</t>
        </is>
      </c>
      <c r="D75" s="6" t="n">
        <v>1</v>
      </c>
      <c r="E75" s="8" t="n"/>
      <c r="F75" s="8">
        <f>IF(AND(D75&lt;&gt;"",E75&lt;&gt;""),D75*E75,"")</f>
        <v/>
      </c>
    </row>
    <row r="76" ht="72" customHeight="1" s="69">
      <c r="A76" s="6" t="inlineStr">
        <is>
          <t>4.4</t>
        </is>
      </c>
      <c r="B76" s="7" t="inlineStr">
        <is>
          <t>OBAVEZAN statički proračun nosivosti podne konstrukcije postojećeg kontejnera, ovjeren od strane ovlaštenog inženjera, te izvođenje OJAČANJA poda. Ojačanje obuhvata izradu i ugradnju čeličnog roštilja/rama za raznošenje opterećenja ISPOD SKIDA AGREGATA I ISPOD TANKVANE SA SPREMNIKOM, sa prenosom opterećenja na temeljnu konstrukciju kontejnera, uključujući antikorozivnu zaštitu i sav spojni materijal.
OBRAZLOŽENJE: mjerodavna projektna nosivost poda je 2,00 kN/m² prema Projektnom zadatku. Agregat daje 3,93 kN/m² (385 kg mokro na 0,96 m²), a pun spremnik 9,2 kN/m² (≈590 kg na 0,63 m²) — oba prekoračuju projektnu vrijednost, pa je ojačanje NEOPHODNO, a ne uslovno. Ranija formulacija se pozivala na proračun tipskog kontejnera K3 (10,00 kN/m²), koji NIJE mjerodavan jer je na ovoj lokaciji ugrađen kontejner tipa K2.
Zapremina spremnika se ne umanjuje.</t>
        </is>
      </c>
      <c r="C76" s="6" t="inlineStr">
        <is>
          <t>kpl</t>
        </is>
      </c>
      <c r="D76" s="6" t="n">
        <v>1</v>
      </c>
      <c r="E76" s="8" t="n"/>
      <c r="F76" s="8">
        <f>IF(AND(D76&lt;&gt;"",E76&lt;&gt;""),D76*E76,"")</f>
        <v/>
      </c>
    </row>
    <row r="77" ht="24" customHeight="1" s="69">
      <c r="A77" s="6" t="inlineStr">
        <is>
          <t>4.5</t>
        </is>
      </c>
      <c r="B77" s="7" t="inlineStr">
        <is>
          <t>Izrada i montaža fleksibilnog spoja od plastificiranog ceradnog platna sa protuokvirom od čelične trake 30 × 1,5 mm, prema dimenzijama hladnjaka ponuđenog agregata.</t>
        </is>
      </c>
      <c r="C77" s="6" t="inlineStr">
        <is>
          <t>kpl</t>
        </is>
      </c>
      <c r="D77" s="6" t="n">
        <v>1</v>
      </c>
      <c r="E77" s="8" t="n"/>
      <c r="F77" s="8">
        <f>IF(AND(D77&lt;&gt;"",E77&lt;&gt;""),D77*E77,"")</f>
        <v/>
      </c>
    </row>
    <row r="78" ht="24" customHeight="1" s="69">
      <c r="A78" s="6" t="inlineStr">
        <is>
          <t>4.6</t>
        </is>
      </c>
      <c r="B78" s="7" t="inlineStr">
        <is>
          <t>Izrada i montaža limenog kanala P ≈ 6 m² za odvod toplog zraka sa agregata, od pocinčanog lima d=1 mm, sa prirubnicama 30 × 1,5 mm, komplet sa fazonskim komadima i ovjesnim priborom.
RASPORED (OBAVEZNO, prema crtežu M-01): kanal se vodi najkraćim putem od radijatora kroz ZAPADNI zid kontejnera do izlazne žaluzine iz Tačke 4.7.</t>
        </is>
      </c>
      <c r="C78" s="6" t="inlineStr">
        <is>
          <t>kpl</t>
        </is>
      </c>
      <c r="D78" s="6" t="n">
        <v>1</v>
      </c>
      <c r="E78" s="8" t="n"/>
      <c r="F78" s="8">
        <f>IF(AND(D78&lt;&gt;"",E78&lt;&gt;""),D78*E78,"")</f>
        <v/>
      </c>
    </row>
    <row r="79" ht="24" customHeight="1" s="69">
      <c r="A79" s="6" t="inlineStr">
        <is>
          <t>4.7</t>
        </is>
      </c>
      <c r="B79" s="7" t="inlineStr">
        <is>
          <t>Isporuka i montaža fiksne žaluzine na kraju kanala za odvod toplog zraka, dimenzija 600 × 600 mm, sa zaštitnom mrežicom, komplet sa montažnim materijalom.
RASPORED (OBAVEZNO, prema crtežu M-01): žaluzina se ugrađuje u ZAPADNI zid kontejnera, na osi radijatora agregata. Topli zrak se NE smije izbacivati prema SJEVERNOJ strani, gdje se nalaze postojeći vanjski ormari ICC330-H1 i MTS9302.</t>
        </is>
      </c>
      <c r="C79" s="6" t="inlineStr">
        <is>
          <t>kpl</t>
        </is>
      </c>
      <c r="D79" s="6" t="n">
        <v>1</v>
      </c>
      <c r="E79" s="8" t="n"/>
      <c r="F79" s="8">
        <f>IF(AND(D79&lt;&gt;"",E79&lt;&gt;""),D79*E79,"")</f>
        <v/>
      </c>
    </row>
    <row r="80" ht="24" customHeight="1" s="69">
      <c r="A80" s="6" t="inlineStr">
        <is>
          <t>4.8</t>
        </is>
      </c>
      <c r="B80" s="7" t="inlineStr">
        <is>
          <t>Isporuka i montaža vanjske fiksne žaluzine za dovod svježeg zraka, dimenzija 500 × 700 mm, sa zaštitnom mrežicom. Žaluzine postaviti tako da se spriječi ulaz vode u kontejner prilikom padavina.
RASPORED (OBAVEZNO, prema crtežu M-01): žaluzina se ugrađuje u JUŽNI zid kontejnera, na istočnom kraju, sa donjom ivicom na cca 0,30 m od poda. Prostorna udaljenost od izduva i od odušne cijevi spremnika ≥3 m. Nije dozvoljeno izvesti dovod zraka kroz ulazna vrata.</t>
        </is>
      </c>
      <c r="C80" s="6" t="inlineStr">
        <is>
          <t>kpl</t>
        </is>
      </c>
      <c r="D80" s="6" t="n">
        <v>1</v>
      </c>
      <c r="E80" s="8" t="n"/>
      <c r="F80" s="8">
        <f>IF(AND(D80&lt;&gt;"",E80&lt;&gt;""),D80*E80,"")</f>
        <v/>
      </c>
    </row>
    <row r="81" ht="36" customHeight="1" s="69">
      <c r="A81" s="6" t="inlineStr">
        <is>
          <t>4.9</t>
        </is>
      </c>
      <c r="B81" s="7" t="inlineStr">
        <is>
          <t>Isporuka i montaža aksijalnog ventilatora za prinudnu ventilaciju prostora agregata, kapaciteta 1200 m³/h, Ø315 mm, sa termostatskim upravljanjem. Ventilator spojiti sa komandnim ormarom agregata tako da se prilikom uključenja agregata vrši i direktno uključenje ventilatora. Minimalna potrebna ventilacija prostora iznosi 120 m³/h (6 izmjena zraka na sat).
RASPORED (OBAVEZNO, prema crtežu M-01): ventilator se ugrađuje u ISTOČNI zid kontejnera, u gornjoj zoni (donja ivica cca 1,75 m), sjeverno od ulaznih vrata.</t>
        </is>
      </c>
      <c r="C81" s="6" t="inlineStr">
        <is>
          <t>kpl</t>
        </is>
      </c>
      <c r="D81" s="6" t="n">
        <v>1</v>
      </c>
      <c r="E81" s="8" t="n"/>
      <c r="F81" s="8">
        <f>IF(AND(D81&lt;&gt;"",E81&lt;&gt;""),D81*E81,"")</f>
        <v/>
      </c>
    </row>
    <row r="82">
      <c r="A82" s="6" t="inlineStr">
        <is>
          <t>4.10</t>
        </is>
      </c>
      <c r="B82" s="7" t="inlineStr">
        <is>
          <t>Isporuka i montaža okrugle zaštitne rešetke na izlaznoj strani ventilatora, kao OZR-1/S/RAL/315 ili ekvivalent.</t>
        </is>
      </c>
      <c r="C82" s="6" t="inlineStr">
        <is>
          <t>kpl</t>
        </is>
      </c>
      <c r="D82" s="6" t="n">
        <v>1</v>
      </c>
      <c r="E82" s="8" t="n"/>
      <c r="F82" s="8">
        <f>IF(AND(D82&lt;&gt;"",E82&lt;&gt;""),D82*E82,"")</f>
        <v/>
      </c>
    </row>
    <row r="83" ht="36" customHeight="1" s="69">
      <c r="A83" s="6" t="inlineStr">
        <is>
          <t>4.11</t>
        </is>
      </c>
      <c r="B83" s="7" t="inlineStr">
        <is>
          <t>Isporuka i montaža sistema za odvod izduvnih gasova: čelična cijev NO 50 mm sa ispušnim loncem, izvedena izvan kontejnera i završena oboreno prema zemlji u obliku lule. Na kraju izduvne cijevi postaviti HVATAČ ISKRI. Komplet sa elastičnim umetkom, lukovima i montažnim materijalom.
IZMJENA — PREČNIK I TRASA: usvaja se DN 65 umjesto NO 50 (pri NO 50 brzina izduvnih gasova je 33 m/s, iznad uobičajenih 30 m/s; protutlak je zadovoljen u oba slučaja). Trasa: fleksibilni spoj i prigušivač neposredno iza motora, uspon uz ZAPADNI zid kontejnera, završetak IZNAD KROVA usmjeren naviše, sa hvatačem iskri, na prostornoj udaljenosti ≥3 m od usisne žaluzine i od odušne cijevi spremnika (prema crtežu M-01).</t>
        </is>
      </c>
      <c r="C83" s="6" t="inlineStr">
        <is>
          <t>kpl</t>
        </is>
      </c>
      <c r="D83" s="6" t="n">
        <v>1</v>
      </c>
      <c r="E83" s="8" t="n"/>
      <c r="F83" s="8">
        <f>IF(AND(D83&lt;&gt;"",E83&lt;&gt;""),D83*E83,"")</f>
        <v/>
      </c>
    </row>
    <row r="84">
      <c r="A84" s="6" t="inlineStr">
        <is>
          <t>4.12</t>
        </is>
      </c>
      <c r="B84" s="7" t="inlineStr">
        <is>
          <t>Čišćenje i bojenje izduvnog cjevovoda bojom otpornom na temperaturu 600 °C.</t>
        </is>
      </c>
      <c r="C84" s="6" t="inlineStr">
        <is>
          <t>kpl</t>
        </is>
      </c>
      <c r="D84" s="6" t="n">
        <v>1</v>
      </c>
      <c r="E84" s="8" t="n"/>
      <c r="F84" s="8">
        <f>IF(AND(D84&lt;&gt;"",E84&lt;&gt;""),D84*E84,"")</f>
        <v/>
      </c>
    </row>
    <row r="85">
      <c r="A85" s="6" t="inlineStr">
        <is>
          <t>4.13</t>
        </is>
      </c>
      <c r="B85" s="7" t="inlineStr">
        <is>
          <t>Termička izolacija izduvnog sistema kamenom vunom d=50 mm i opšivanje izduvnog cjevovoda i lonca Al limom d=1 mm, do P ≈ 6 m².</t>
        </is>
      </c>
      <c r="C85" s="6" t="inlineStr">
        <is>
          <t>kpl</t>
        </is>
      </c>
      <c r="D85" s="6" t="n">
        <v>1</v>
      </c>
      <c r="E85" s="8" t="n"/>
      <c r="F85" s="8">
        <f>IF(AND(D85&lt;&gt;"",E85&lt;&gt;""),D85*E85,"")</f>
        <v/>
      </c>
    </row>
    <row r="86" ht="24" customHeight="1" s="69">
      <c r="A86" s="6" t="inlineStr">
        <is>
          <t>4.14</t>
        </is>
      </c>
      <c r="B86" s="7" t="inlineStr">
        <is>
          <t>Isporuka i ugradnja opreme za zimski rad: grijač prostora agregata sa termostatom, termoizolacija cjevovoda goriva i grijanje/zaštita spremnika od hladnog starta, komplet sa napajanjem i upravljanjem iz KOA.</t>
        </is>
      </c>
      <c r="C86" s="6" t="inlineStr">
        <is>
          <t>kpl</t>
        </is>
      </c>
      <c r="D86" s="6" t="n">
        <v>1</v>
      </c>
      <c r="E86" s="8" t="n"/>
      <c r="F86" s="8">
        <f>IF(AND(D86&lt;&gt;"",E86&lt;&gt;""),D86*E86,"")</f>
        <v/>
      </c>
    </row>
    <row r="87" ht="36" customHeight="1" s="69">
      <c r="A87" s="6" t="inlineStr">
        <is>
          <t>4.15</t>
        </is>
      </c>
      <c r="B87" s="7" t="inlineStr">
        <is>
          <t>Protupožarna zaštita i senzorika prostora agregata: automatski detektor dima na stropu, termojavljač povišene temperature (t&gt;30 °C) i snižene temperature (t&lt;10 °C), aparat za početno gašenje požara S-6 sa nosačem, te automatski uređaj za gašenje požara. Svi signali se prosljeđuju do razvodnog ormara signalizacije (ROS) i u nadzorni centar.</t>
        </is>
      </c>
      <c r="C87" s="6" t="inlineStr">
        <is>
          <t>kpl</t>
        </is>
      </c>
      <c r="D87" s="6" t="n">
        <v>1</v>
      </c>
      <c r="E87" s="8" t="n"/>
      <c r="F87" s="8">
        <f>IF(AND(D87&lt;&gt;"",E87&lt;&gt;""),D87*E87,"")</f>
        <v/>
      </c>
    </row>
    <row r="88" ht="24" customHeight="1" s="69">
      <c r="A88" s="6" t="inlineStr">
        <is>
          <t>4.16</t>
        </is>
      </c>
      <c r="B88" s="7" t="inlineStr">
        <is>
          <t>Prvo punjenje spremnika dizel gorivom EURO 5 / BAS EN 590, uključujući transport gorivom na lokaciju i pretakanje. Obračun po stvarno isporučenoj količini.</t>
        </is>
      </c>
      <c r="C88" s="6" t="inlineStr">
        <is>
          <t>l</t>
        </is>
      </c>
      <c r="D88" s="6" t="n">
        <v>500</v>
      </c>
      <c r="E88" s="8" t="n"/>
      <c r="F88" s="8">
        <f>IF(AND(D88&lt;&gt;"",E88&lt;&gt;""),D88*E88,"")</f>
        <v/>
      </c>
    </row>
    <row r="89">
      <c r="A89" s="6" t="inlineStr">
        <is>
          <t>4.17</t>
        </is>
      </c>
      <c r="B89" s="7" t="inlineStr">
        <is>
          <t>Sitni montažni materijal.</t>
        </is>
      </c>
      <c r="C89" s="6" t="inlineStr">
        <is>
          <t>pšl</t>
        </is>
      </c>
      <c r="D89" s="6" t="n">
        <v>1</v>
      </c>
      <c r="E89" s="8" t="n"/>
      <c r="F89" s="8">
        <f>IF(AND(D89&lt;&gt;"",E89&lt;&gt;""),D89*E89,"")</f>
        <v/>
      </c>
    </row>
    <row r="90" ht="36" customHeight="1" s="69">
      <c r="A90" s="6" t="inlineStr">
        <is>
          <t>4.18</t>
        </is>
      </c>
      <c r="B90" s="7" t="inlineStr">
        <is>
          <t>Dokumentacija izvedenog stanja: kataloška dokumentacija DEA (motor, generator, skid, kontroler) sa tehničkim crtežima, uputstvo za rukovanje i održavanje sa specifikacijom rezervnih dijelova, inovirana elektro shema ožičenja DEA i veze sa TK objektom, ispitni list proizvođača (Factory Work Load TEST), katalog i ispitni list spremnika goriva, garantni list, CE i ISO 9001 certifikat.</t>
        </is>
      </c>
      <c r="C90" s="6" t="inlineStr">
        <is>
          <t>kpl</t>
        </is>
      </c>
      <c r="D90" s="6" t="n">
        <v>1</v>
      </c>
      <c r="E90" s="8" t="n"/>
      <c r="F90" s="8">
        <f>IF(AND(D90&lt;&gt;"",E90&lt;&gt;""),D90*E90,"")</f>
        <v/>
      </c>
    </row>
    <row r="91">
      <c r="A91" s="6" t="inlineStr">
        <is>
          <t>4.19</t>
        </is>
      </c>
      <c r="F91" s="8">
        <f>IF(AND(D91&lt;&gt;"",E91&lt;&gt;""),D91*E91,"")</f>
        <v/>
      </c>
    </row>
    <row r="92">
      <c r="A92" s="6" t="inlineStr">
        <is>
          <t>4.20</t>
        </is>
      </c>
      <c r="B92" s="7" t="inlineStr">
        <is>
          <t>Isporuka i ugradnja protupožarnog (sigurnosnog) ventila na izlaznom vodu goriva iz spremnika, sa termičkim okidanjem (topljivi osigurač) ili solenoidnom izvedbom, koji zatvara dovod goriva pri požaru i pri aktiviranju tastera EMERGENCY STOP. Komplet sa nosačem, spojnim materijalom, uvezivanjem u sistem detekcije požara i funkcionalnim ispitivanjem.</t>
        </is>
      </c>
      <c r="C92" s="6" t="inlineStr">
        <is>
          <t>kpl</t>
        </is>
      </c>
      <c r="D92" s="6" t="n">
        <v>1</v>
      </c>
      <c r="E92" s="8" t="n"/>
      <c r="F92" s="8">
        <f>IF(AND(D92&lt;&gt;"",E92&lt;&gt;""),D92*E92,"")</f>
        <v/>
      </c>
    </row>
    <row r="93">
      <c r="A93" s="6" t="inlineStr">
        <is>
          <t>4.21</t>
        </is>
      </c>
      <c r="B93" s="7" t="inlineStr">
        <is>
          <t>Isporuka, ugradnja i parametriranje blokade ventilacije pri aktiviranju automatskog gašenja: pri detekciji požara i aktivaciji uređaja za gašenje automatski se zaustavlja agregat, isključuje aksijalni ventilator prostora i zatvaraju se motorne žaluzine dovoda i odvoda zraka, kako sredstvo za gašenje ne bi bilo odneseno strujom zraka. Uključene motorne klapne na usisnoj i izlaznoj žaluzini, upravljački modul, kablovanje i funkcionalno ispitivanje.</t>
        </is>
      </c>
      <c r="C93" s="6" t="inlineStr">
        <is>
          <t>kpl</t>
        </is>
      </c>
      <c r="D93" s="6" t="n">
        <v>1</v>
      </c>
      <c r="E93" s="8" t="n"/>
      <c r="F93" s="8">
        <f>IF(AND(D93&lt;&gt;"",E93&lt;&gt;""),D93*E93,"")</f>
        <v/>
      </c>
    </row>
    <row r="94" ht="24" customHeight="1" s="69">
      <c r="A94" s="96" t="inlineStr">
        <is>
          <t>UKUPNO 4 — AGREGAT ZA MONTAŽU U KONTEJNER:</t>
        </is>
      </c>
      <c r="B94" s="16" t="n"/>
      <c r="C94" s="16" t="n"/>
      <c r="D94" s="16" t="n"/>
      <c r="E94" s="17" t="n"/>
      <c r="F94" s="10">
        <f>SUM(F59:F93)</f>
        <v/>
      </c>
    </row>
    <row r="95" ht="24" customHeight="1" s="69"/>
    <row r="96" ht="36" customHeight="1" s="69">
      <c r="A96" s="3" t="inlineStr">
        <is>
          <t>5</t>
        </is>
      </c>
      <c r="B96" s="4" t="inlineStr">
        <is>
          <t>ELEKTROMONTAŽNI RADOVI</t>
        </is>
      </c>
      <c r="C96" s="5" t="n"/>
      <c r="D96" s="5" t="n"/>
      <c r="E96" s="5" t="n"/>
      <c r="F96" s="5" t="n"/>
    </row>
    <row r="97" ht="24" customHeight="1" s="69">
      <c r="A97" s="6" t="inlineStr">
        <is>
          <t>5.1</t>
        </is>
      </c>
      <c r="B97" s="7" t="inlineStr">
        <is>
          <t>Iskop rova dimenzija 0,40 × 0,80 m u zemlji IV-V kategorije za polaganje elektroenergetskih kablova i uzemljivačke trake, sa zatrpavanjem zemljom od iskopa te raščišćavanjem i planiranjem trase. Obračun po ostvarenom m1.</t>
        </is>
      </c>
      <c r="C97" s="6" t="inlineStr">
        <is>
          <t>m1</t>
        </is>
      </c>
      <c r="D97" s="6" t="n">
        <v>30</v>
      </c>
      <c r="E97" s="8" t="n"/>
      <c r="F97" s="8">
        <f>IF(AND(D97&lt;&gt;"",E97&lt;&gt;""),D97*E97,"")</f>
        <v/>
      </c>
    </row>
    <row r="98">
      <c r="A98" s="6" t="inlineStr">
        <is>
          <t>5.2</t>
        </is>
      </c>
      <c r="B98" s="7" t="inlineStr">
        <is>
          <t>Isporuka i polaganje alkaten PEHD cijevi Ø50 za uvlačenje napojnog energetskog kabla, DC solarnih kablova i kabla za daljinski nadzor. Na cijevi položiti upozoravajuću PVC traku "PAŽNJA ENERGETSKI KABEL". 3 cijevi × 15,00 m</t>
        </is>
      </c>
      <c r="C98" s="6" t="inlineStr">
        <is>
          <t>m</t>
        </is>
      </c>
      <c r="D98" s="6" t="n">
        <v>45</v>
      </c>
      <c r="E98" s="8" t="n"/>
      <c r="F98" s="8">
        <f>IF(AND(D98&lt;&gt;"",E98&lt;&gt;""),D98*E98,"")</f>
        <v/>
      </c>
    </row>
    <row r="99">
      <c r="A99" s="6" t="inlineStr">
        <is>
          <t>5.3</t>
        </is>
      </c>
      <c r="B99" s="7" t="inlineStr">
        <is>
          <t>Isporuka i polaganje vruće pocinčane uzemljivačke trake Fe/Zn 25×4 mm (presjek min. 100 mm², debljina min. 2,5 mm), na dubini od 1,00 m obzirom da se radi o planinskoj lokaciji (izbjegavanje efekta zaleđivanja tla), sa svim radovima na povezivanju na postojeći prstenasti uzemljivač radi izjednačenja potencijala.</t>
        </is>
      </c>
      <c r="C99" s="6" t="inlineStr">
        <is>
          <t>m</t>
        </is>
      </c>
      <c r="D99" s="6" t="n">
        <v>40</v>
      </c>
      <c r="E99" s="8" t="n"/>
      <c r="F99" s="8">
        <f>IF(AND(D99&lt;&gt;"",E99&lt;&gt;""),D99*E99,"")</f>
        <v/>
      </c>
    </row>
    <row r="100">
      <c r="A100" s="6" t="inlineStr">
        <is>
          <t>5.4</t>
        </is>
      </c>
      <c r="B100" s="7" t="inlineStr">
        <is>
          <t>Isporuka i montaža FeZn 60×60 mm ukrsnih komada za povezivanje uzemljivačke trake na postojeći sistem uzemljenja i na nosive konstrukcije FN panela.</t>
        </is>
      </c>
      <c r="C100" s="6" t="inlineStr">
        <is>
          <t>kom</t>
        </is>
      </c>
      <c r="D100" s="6" t="n">
        <v>8</v>
      </c>
      <c r="E100" s="8" t="n"/>
      <c r="F100" s="8">
        <f>IF(AND(D100&lt;&gt;"",E100&lt;&gt;""),D100*E100,"")</f>
        <v/>
      </c>
    </row>
    <row r="101">
      <c r="A101" s="6" t="inlineStr">
        <is>
          <t>5.5</t>
        </is>
      </c>
      <c r="B101" s="7" t="inlineStr">
        <is>
          <t>Isporuka i polaganje veza na dionici hibridni sistem — DEA:</t>
        </is>
      </c>
      <c r="C101" s="6" t="inlineStr">
        <is>
          <t>kpl</t>
        </is>
      </c>
      <c r="D101" s="6" t="n">
        <v>1</v>
      </c>
      <c r="E101" s="8" t="n"/>
      <c r="F101" s="8">
        <f>IF(AND(D101&lt;&gt;"",E101&lt;&gt;""),D101*E101,"")</f>
        <v/>
      </c>
    </row>
    <row r="102" ht="36" customHeight="1" s="69">
      <c r="A102" s="9" t="n"/>
      <c r="B102" s="7" t="inlineStr">
        <is>
          <t xml:space="preserve"> - energetski kabl dužine do 15 m, tip NYY-J 5×6 mm²</t>
        </is>
      </c>
      <c r="C102" s="9" t="n"/>
      <c r="D102" s="9" t="n"/>
      <c r="E102" s="9" t="n"/>
      <c r="F102" s="9" t="n"/>
    </row>
    <row r="103" ht="36" customHeight="1" s="69">
      <c r="A103" s="9" t="n"/>
      <c r="B103" s="7" t="inlineStr">
        <is>
          <t xml:space="preserve"> - signalni kabl dužine do 15 m, tip J-Y(ST)Y 4×2×0,6 mm²</t>
        </is>
      </c>
      <c r="C103" s="9" t="n"/>
      <c r="D103" s="9" t="n"/>
      <c r="E103" s="9" t="n"/>
      <c r="F103" s="9" t="n"/>
    </row>
    <row r="104" ht="36" customHeight="1" s="69">
      <c r="A104" s="9" t="n"/>
      <c r="B104" s="7" t="inlineStr">
        <is>
          <t xml:space="preserve"> - komunikacioni Ethernet kabl dužine do 15 m, tip STP Cat5</t>
        </is>
      </c>
      <c r="C104" s="9" t="n"/>
      <c r="D104" s="9" t="n"/>
      <c r="E104" s="9" t="n"/>
      <c r="F104" s="9" t="n"/>
    </row>
    <row r="105">
      <c r="A105" s="9" t="n"/>
      <c r="B105" s="7" t="inlineStr">
        <is>
          <t>Kablovi se polažu uvlačenjem u PEHD cijevi/bužire i u metalne kanale, komplet sa montažnim materijalom, spajanjem na obje strane, bušenjem prodora na kontejneru, ugradnjom uvodnica i zaštitnog lima. Obavezna obrada svih prodora sa aspekta sigurnosti, toplinske izolacije (pur pjena, armaflex) i estetike.</t>
        </is>
      </c>
      <c r="C105" s="9" t="n"/>
      <c r="D105" s="9" t="n"/>
      <c r="E105" s="9" t="n"/>
      <c r="F105" s="9" t="n"/>
    </row>
    <row r="106" ht="24" customHeight="1" s="69">
      <c r="A106" s="6" t="inlineStr">
        <is>
          <t>5.6</t>
        </is>
      </c>
      <c r="B106" s="7" t="inlineStr">
        <is>
          <t>Isporuka i montaža NOVOG GLAVNOG RAZVODNOG ORMARA (GRO) — AC RAZVODNA SEKCIJA, za ugradnju u postojeći kontejner. Ormar služi kao zajednička AC razvodna kutija za agregat (DEA), ispravljački sistem (Huawei ICC330-H1 + MTS9302 ili kompatibilan) i ostalu AC opremu kontejnera; DC/solarni razvod je izveden odvojeno, u zasebnom PVDB ormaru prema Tački 1.6 LOT-a 1 (AC i DC krugovi se ne miješaju u istom ormaru). Ormar zidni sa nosačima, orijentacionih dimenzija 0,60 × 0,25 × 0,80 m (Š×D×V), mehaničke zaštite min. IP66, zabravljen bravom sa višestrukim zaključavanjem, kao Schrack ili ekvivalent.</t>
        </is>
      </c>
      <c r="C106" s="6" t="inlineStr">
        <is>
          <t>kpl</t>
        </is>
      </c>
      <c r="D106" s="6" t="n">
        <v>1</v>
      </c>
      <c r="E106" s="8" t="n"/>
      <c r="F106" s="8">
        <f>IF(AND(D106&lt;&gt;"",E106&lt;&gt;""),D106*E106,"")</f>
        <v/>
      </c>
    </row>
    <row r="107" ht="24" customHeight="1" s="69">
      <c r="A107" s="9" t="n"/>
      <c r="B107" s="7" t="inlineStr">
        <is>
          <t>Sa donje strane ormara obezbijediti prostor za uvod i smještaj kablova sa PG uvodnicama prema dimenzijama kablova, opremljen stezaljkama, elementima za uzemljenje i sabirnicama, komplet ožičeno, sa uključenim ožičenjem preostalog prostora za naknadna proširenja (min. 30 % rezerve).</t>
        </is>
      </c>
      <c r="C107" s="9" t="n"/>
      <c r="D107" s="9" t="n"/>
      <c r="E107" s="9" t="n"/>
      <c r="F107" s="9" t="n"/>
    </row>
    <row r="108">
      <c r="A108" s="9" t="n"/>
      <c r="B108" s="7" t="inlineStr">
        <is>
          <t>AC RAZVOD — AGREGAT I ISPRAVLJAČI:</t>
        </is>
      </c>
      <c r="C108" s="9" t="n"/>
      <c r="D108" s="9" t="n"/>
      <c r="E108" s="9" t="n"/>
      <c r="F108" s="9" t="n"/>
    </row>
    <row r="109" ht="24" customHeight="1" s="69">
      <c r="A109" s="9" t="n"/>
      <c r="B109" s="7" t="inlineStr">
        <is>
          <t xml:space="preserve"> - 1 kom 4p tropoložajna sklopka za odabir izvora napajanja, izvedbe 1-0-2, 63 A, sa uvezanim statusom slobodnog kontakta sa kontrolerom agregata (DIG IN). Položaje obilježiti: 1-"hibridni sistem", 0-"isključeno", 2-"agregat"</t>
        </is>
      </c>
      <c r="C109" s="9" t="n"/>
      <c r="D109" s="9" t="n"/>
      <c r="E109" s="9" t="n"/>
      <c r="F109" s="9" t="n"/>
    </row>
    <row r="110">
      <c r="A110" s="9" t="n"/>
      <c r="B110" s="7" t="inlineStr">
        <is>
          <t xml:space="preserve"> - 1 kom 3p dvopoložajna sklopka za isključenje napojnog kruga, izvedbe 0-1, 63 A, sa pomoćnim kontaktom za uvezivanje statusa sa kontrolerom agregata (DIG IN)</t>
        </is>
      </c>
      <c r="C110" s="9" t="n"/>
      <c r="D110" s="9" t="n"/>
      <c r="E110" s="9" t="n"/>
      <c r="F110" s="9" t="n"/>
    </row>
    <row r="111">
      <c r="A111" s="9" t="n"/>
      <c r="B111" s="7" t="inlineStr">
        <is>
          <t xml:space="preserve"> - 3 kom 1p automatski prekidač, C, 32 A, 10 kA za zaštitu napajanja preko DEA</t>
        </is>
      </c>
      <c r="C111" s="9" t="n"/>
      <c r="D111" s="9" t="n"/>
      <c r="E111" s="9" t="n"/>
      <c r="F111" s="9" t="n"/>
    </row>
    <row r="112">
      <c r="A112" s="9" t="n"/>
      <c r="B112" s="7" t="inlineStr">
        <is>
          <t xml:space="preserve"> - 1 kom odvodnik prenapona AC, KOMBINOVANI TIP 1 + 2 prema EN 61643-11, Iimp ≥12,5 kA (10/350 µs) po polu, Up ≤1,5 kV, 4p, sa signalizacijom za daljinsko očitanje stanja i uvezanim statusom sa kontrolerom agregata. Objekat ima vanjski sistem zaštite od munje (antenski stub h=38 m), pa odvodnik tipa 2 sam po sebi NIJE dovoljan prema EN 62305-4.
 - 1 kom 4p zaštitna strujna sklopka (RCD) 63 A / 300 mA, S-tip (selektivna), za zaštitu cjelokupnog napojnog kruga iza sklopke izvora
 - 2 kom 1p+N zaštitna strujna sklopka sa prekostrujnom zaštitom (RCBO) 16 A / 30 mA, tip A, za utičnice i rasvjetu kontejnera
NAPOMENA (obavezno): agregat je SHUNT pobude i prema tehničkom listu proizvođača ima deklarisanu sposobnost trajne struje kratkog spoja 0 %, zbog čega SAMO prekostrujna zaštita NE MOŽE ostvariti automatsko isključenje u vremenu zahtijevanom prema IEC 60364-4-41 (0,4 s za 230 V). Zaštita zaštitnom strujnom sklopkom je stoga OBAVEZNA. Sistem uzemljenja je TN-S sa jedinstvenom tačkom spajanja N i PE u ovom ormaru; otpor uzemljenja ≤10 Ω.</t>
        </is>
      </c>
      <c r="C112" s="9" t="n"/>
      <c r="D112" s="9" t="n"/>
      <c r="E112" s="9" t="n"/>
      <c r="F112" s="9" t="n"/>
    </row>
    <row r="113">
      <c r="A113" s="9" t="n"/>
      <c r="B113" s="7" t="inlineStr">
        <is>
          <t xml:space="preserve"> - 1 kom 3p automatski prekidač, C, 32 A, 10 kA, za AC napajanje ispravljačkog sistema (Huawei ICC330-H1 + MTS9302 ili kompatibilan)</t>
        </is>
      </c>
      <c r="C113" s="9" t="n"/>
      <c r="D113" s="9" t="n"/>
      <c r="E113" s="9" t="n"/>
      <c r="F113" s="9" t="n"/>
    </row>
    <row r="114">
      <c r="A114" s="9" t="n"/>
      <c r="B114" s="7" t="inlineStr">
        <is>
          <t xml:space="preserve"> - 2 kom 1p automatski prekidač, C, 16 A, sa rezervom za ostalu AC opremu kontejnera (rasvjeta, utičnice, klima i sl.) i buduća proširenja</t>
        </is>
      </c>
      <c r="C114" s="9" t="n"/>
      <c r="D114" s="9" t="n"/>
      <c r="E114" s="9" t="n"/>
      <c r="F114" s="9" t="n"/>
    </row>
    <row r="115" ht="36" customHeight="1" s="69">
      <c r="A115" s="9" t="n"/>
      <c r="B115" s="7" t="inlineStr">
        <is>
          <t>NAPOMENA — DC/SOLARNI RAZVOD NIJE DIO OVOG ORMARA:</t>
        </is>
      </c>
      <c r="C115" s="9" t="n"/>
      <c r="D115" s="9" t="n"/>
      <c r="E115" s="9" t="n"/>
      <c r="F115" s="9" t="n"/>
    </row>
    <row r="116" ht="24" customHeight="1" s="69">
      <c r="A116" s="9" t="n"/>
      <c r="B116" s="7" t="inlineStr">
        <is>
          <t xml:space="preserve"> - DC rastavljač, osigurači nizova FN panela i DC odvodnik prenapona (tip 2) smješteni su u zasebnom PVDB ormaru prema Tački 1.6 (LOT 1), fizički odvojenom od ovog GRO-a, radi razdvajanja AC i DC krugova u posebnim kućištima.</t>
        </is>
      </c>
      <c r="C116" s="9" t="n"/>
      <c r="D116" s="9" t="n"/>
      <c r="E116" s="9" t="n"/>
      <c r="F116" s="9" t="n"/>
    </row>
    <row r="117" ht="36" customHeight="1" s="69">
      <c r="A117" s="9" t="n"/>
      <c r="B117" s="7" t="n"/>
      <c r="C117" s="9" t="n"/>
      <c r="D117" s="9" t="n"/>
      <c r="E117" s="9" t="n"/>
      <c r="F117" s="9" t="n"/>
    </row>
    <row r="118">
      <c r="A118" s="9" t="n"/>
      <c r="B118" s="7" t="inlineStr">
        <is>
          <t>Napomena: Sve metalne mase ormara koje u normalnom radu nisu pod naponom povezati na sabirnice za izjednačenje potencijala. Uvodi kablova brtvljeni uvodnicama. Izraditi i pričvrstiti natpisne pločice sa prednje strane ormara, gravirano: "GRO AC — AGREGAT/ISPRAVLJAČI — BS SJEDNICA" i oznaka W012 "OPASAN NAPON" u skladu sa EN ISO 7010.</t>
        </is>
      </c>
      <c r="C118" s="9" t="n"/>
      <c r="D118" s="9" t="n"/>
      <c r="E118" s="9" t="n"/>
      <c r="F118" s="9" t="n"/>
    </row>
    <row r="119">
      <c r="A119" s="6" t="inlineStr">
        <is>
          <t>5.7</t>
        </is>
      </c>
      <c r="B119" s="97" t="inlineStr">
        <is>
          <t>Uvezivanje kontrolera DEA sa Huawei kontrolno-upravljačkim sistemom (modul GIM01C1) i sa razvodnim ormarom signalizacije (ROS), te parametriranje kriterija automatskog starta po stanju napunjenosti baterija (SoC).</t>
        </is>
      </c>
      <c r="C119" t="inlineStr">
        <is>
          <t>kpl</t>
        </is>
      </c>
      <c r="D119" t="n">
        <v>1</v>
      </c>
      <c r="F119" s="8">
        <f>IF(AND(D119&lt;&gt;"",E119&lt;&gt;""),D119*E119,"")</f>
        <v/>
      </c>
    </row>
    <row r="120">
      <c r="A120" s="6" t="inlineStr">
        <is>
          <t>5.8</t>
        </is>
      </c>
      <c r="B120" s="7" t="inlineStr">
        <is>
          <t>PROVJERA UZEMLJENJA I ELEKTRIČNIH INSTALACIJA sa izdavanjem stručnog nalaza ovlaštene kuće: mjerenje otpora uzemljenja i neprekidnosti zaštitnog vodiča, mjerenje otpora izolacije, ispitivanje zaštite od indirektnog dodira, provjera izjednačenja potencijala, funkcionalno ispitivanje automatskog starta DEA. Otpor uzemljenja mora zadovoljiti zahtjeve Projektnog zadatka.</t>
        </is>
      </c>
      <c r="C120" s="6" t="inlineStr">
        <is>
          <t>kpl</t>
        </is>
      </c>
      <c r="D120" s="6" t="n">
        <v>1</v>
      </c>
      <c r="E120" s="8" t="n"/>
      <c r="F120" s="8">
        <f>IF(AND(D120&lt;&gt;"",E120&lt;&gt;""),D120*E120,"")</f>
        <v/>
      </c>
    </row>
    <row r="121">
      <c r="A121" s="6" t="inlineStr">
        <is>
          <t>5.9</t>
        </is>
      </c>
      <c r="B121" s="7" t="inlineStr">
        <is>
          <t>Ostali sitni montažni i potrošni materijal.</t>
        </is>
      </c>
      <c r="C121" s="6" t="inlineStr">
        <is>
          <t>paušal</t>
        </is>
      </c>
      <c r="D121" s="6" t="n">
        <v>1</v>
      </c>
      <c r="E121" s="8" t="n"/>
      <c r="F121" s="8">
        <f>IF(AND(D121&lt;&gt;"",E121&lt;&gt;""),D121*E121,"")</f>
        <v/>
      </c>
    </row>
    <row r="122" ht="36" customHeight="1" s="69">
      <c r="A122" s="6" t="inlineStr">
        <is>
          <t>5.10</t>
        </is>
      </c>
      <c r="B122" s="7" t="inlineStr">
        <is>
          <t>Snimanje postojećeg stanja i prevezivanje postojećih strujnih krugova na novi GRO iz Tačke 5.6. Obuhvata:
 - snimanje i evidentiranje svih 7 postojećih strujnih krugova postojećeg razvoda, sa mjerenjem opterećenja i izradom jednopolne sheme zatečenog stanja
 - prevezivanje krugova na odgovarajuće izvode novog GRO, sa označavanjem
 - SIGNALNA RASVJETA PREPREKE antenskog stuba h=38 m (krug K7) izvodi se kao ZASEBAN NADZIRANI strujni krug, sa nadzorom prisustva napona i strujnim nadzorom ispravnosti svjetiljke, i dojavom ispada u sistem daljinskog nadzora — rasvjeta prepreke je trajno noćno opterećenje i ne smije biti isključena prilikom rekonfiguracije napajanja
 - Ponuđač mjeri stvarnu snagu rasvjete prepreke i dostavlja je Kupcu radi provjere energetskog bilansa (Prilog I, Tačka 1)
Komplet sa spojnim materijalom, oznakama, ispitivanjem i ažuriranom jednopolnom shemom izvedenog stanja.</t>
        </is>
      </c>
      <c r="C122" s="6" t="inlineStr">
        <is>
          <t>kpl</t>
        </is>
      </c>
      <c r="D122" s="6" t="n">
        <v>1</v>
      </c>
      <c r="E122" s="8" t="n"/>
      <c r="F122" s="8">
        <f>IF(AND(D122&lt;&gt;"",E122&lt;&gt;""),D122*E122,"")</f>
        <v/>
      </c>
    </row>
    <row r="123" ht="24" customHeight="1" s="69">
      <c r="A123" s="6" t="inlineStr">
        <is>
          <t>5.11</t>
        </is>
      </c>
      <c r="B123" s="7" t="inlineStr">
        <is>
          <t>Isporuka i ugradnja odvodnika prenapona za SIGNALNE i KOMUNIKACIONE VODOVE prema EN 61643-21: na signalnom kablu J-Y(ST)Y i na Ethernet vodu prema kontroleru agregata i sistemu daljinskog nadzora, na oba kraja dionice. Objekat ima vanjski sistem zaštite od munje i antenski stub h=38 m, pa je zaštita signalnih vodova obavezna prema EN 62305-4. Komplet sa nosačima, uzemljenjem odvodnika i ispitivanjem.</t>
        </is>
      </c>
      <c r="C123" s="6" t="inlineStr">
        <is>
          <t>kpl</t>
        </is>
      </c>
      <c r="D123" s="6" t="n">
        <v>1</v>
      </c>
      <c r="E123" s="8" t="n"/>
      <c r="F123" s="8">
        <f>IF(AND(D123&lt;&gt;"",E123&lt;&gt;""),D123*E123,"")</f>
        <v/>
      </c>
    </row>
    <row r="124" ht="24" customHeight="1" s="69">
      <c r="A124" s="15" t="inlineStr">
        <is>
          <t>UKUPNO 5 — ELEKTROMONTAŽNI RADOVI:</t>
        </is>
      </c>
      <c r="B124" s="16" t="n"/>
      <c r="C124" s="16" t="n"/>
      <c r="D124" s="16" t="n"/>
      <c r="E124" s="17" t="n"/>
      <c r="F124" s="10">
        <f>SUM(F97:F123)</f>
        <v/>
      </c>
    </row>
    <row r="125"/>
    <row r="126" ht="24" customHeight="1" s="69">
      <c r="A126" s="3" t="inlineStr">
        <is>
          <t>6</t>
        </is>
      </c>
      <c r="B126" s="4" t="inlineStr">
        <is>
          <t>PUŠTANJE U RAD, OBUKA I DOKUMENTACIJA (DO POTPUNE GOTOVOSTI)</t>
        </is>
      </c>
      <c r="C126" s="5" t="n"/>
      <c r="D126" s="5" t="n"/>
      <c r="E126" s="5" t="n"/>
      <c r="F126" s="5" t="n"/>
    </row>
    <row r="127">
      <c r="A127" s="9" t="n"/>
      <c r="B127" s="2" t="inlineStr">
        <is>
          <t>Napomena uz Tačku 6: LOT 2 obuhvata usluge montaže i uvezivanja sistema DO POTPUNE GOTOVOSTI i funkcionalnosti, uključujući sve radove, materijal i usluge neophodne za predaju sistema u ispravnom i funkcionalnom stanju, bez obzira da li su izričito navedeni u pojedinačnim stavkama.</t>
        </is>
      </c>
      <c r="C127" s="9" t="n"/>
      <c r="D127" s="9" t="n"/>
      <c r="E127" s="9" t="n"/>
      <c r="F127" s="9" t="n"/>
    </row>
    <row r="128">
      <c r="A128" s="6" t="inlineStr">
        <is>
          <t>6.1</t>
        </is>
      </c>
      <c r="B128" s="7" t="inlineStr">
        <is>
          <t>Puštanje u rad kompletnog sistema, funkcionalno testiranje automatskog starta DEA po kriteriju stanja baterija, testiranje prelaska izvora i 72-satni probni rad sa zapisom parametara.</t>
        </is>
      </c>
      <c r="C128" s="6" t="inlineStr">
        <is>
          <t>kpl</t>
        </is>
      </c>
      <c r="D128" s="6" t="n">
        <v>1</v>
      </c>
      <c r="E128" s="8" t="n"/>
      <c r="F128" s="8">
        <f>IF(AND(D128&lt;&gt;"",E128&lt;&gt;""),D128*E128,"")</f>
        <v/>
      </c>
    </row>
    <row r="129">
      <c r="A129" s="6" t="inlineStr">
        <is>
          <t>6.2</t>
        </is>
      </c>
      <c r="B129" s="97" t="inlineStr">
        <is>
          <t>Uvezivanje kontrolera DEA u krovni sistem nadzora i upravljanja BH Telecom-a (SCADA — Ignition), sa isporukom licenciranog softverskog paketa, instalacijom u nadzornom centru, uvezivanjem do najbližeg switcha i testiranjem prosljeđivanja alarma.</t>
        </is>
      </c>
      <c r="C129" t="inlineStr">
        <is>
          <t>kpl</t>
        </is>
      </c>
      <c r="D129" t="n">
        <v>1</v>
      </c>
      <c r="F129" s="8">
        <f>IF(AND(D129&lt;&gt;"",E129&lt;&gt;""),D129*E129,"")</f>
        <v/>
      </c>
    </row>
    <row r="130">
      <c r="A130" s="6" t="inlineStr">
        <is>
          <t>6.3</t>
        </is>
      </c>
      <c r="B130" s="7" t="inlineStr">
        <is>
          <t>Obuka osoblja Investitora (do 4 osobe) za rukovanje i osnovno održavanje sistema, u trajanju od min. 1 radnog dana.</t>
        </is>
      </c>
      <c r="C130" s="6" t="inlineStr">
        <is>
          <t>kpl</t>
        </is>
      </c>
      <c r="D130" s="6" t="n">
        <v>1</v>
      </c>
      <c r="E130" s="8" t="n"/>
      <c r="F130" s="8">
        <f>IF(AND(D130&lt;&gt;"",E130&lt;&gt;""),D130*E130,"")</f>
        <v/>
      </c>
    </row>
    <row r="131">
      <c r="A131" s="6" t="inlineStr">
        <is>
          <t>6.4</t>
        </is>
      </c>
      <c r="B131" s="97" t="inlineStr">
        <is>
          <t>Izrada dokumentacije izvedenog stanja za kompletan LOT 2 (elektro, mašinski i građevinski dio), u 3 štampana primjerka i u elektronskoj formi (PDF + izvorni DWG/DOCX).</t>
        </is>
      </c>
      <c r="C131" t="inlineStr">
        <is>
          <t>kpl</t>
        </is>
      </c>
      <c r="D131" t="n">
        <v>1</v>
      </c>
      <c r="F131">
        <f>IF(AND(D131&lt;&gt;"",E131&lt;&gt;""),D131*E131,"")</f>
        <v/>
      </c>
    </row>
    <row r="132">
      <c r="A132" s="15" t="inlineStr">
        <is>
          <t>UKUPNO 6 — PUŠTANJE U RAD, OBUKA I DOKUMENTACIJA:</t>
        </is>
      </c>
      <c r="B132" s="16" t="n"/>
      <c r="C132" s="16" t="n"/>
      <c r="D132" s="16" t="n"/>
      <c r="E132" s="17" t="n"/>
      <c r="F132" s="10">
        <f>SUM(F128:F131)</f>
        <v/>
      </c>
    </row>
    <row r="133"/>
    <row r="134">
      <c r="A134" s="23" t="inlineStr">
        <is>
          <t>UKUPNO LOT 2 — DEA U POSTOJEĆEM KONTEJNERU (bez PDV-a):</t>
        </is>
      </c>
      <c r="B134" s="16" t="n"/>
      <c r="C134" s="16" t="n"/>
      <c r="D134" s="16" t="n"/>
      <c r="E134" s="17" t="n"/>
      <c r="F134" s="14">
        <f>F94+F124+F132</f>
        <v/>
      </c>
    </row>
    <row r="135"/>
    <row r="136">
      <c r="A136" s="21" t="inlineStr">
        <is>
          <t>REKAPITULACIJA</t>
        </is>
      </c>
      <c r="B136" s="16" t="n"/>
      <c r="C136" s="16" t="n"/>
      <c r="D136" s="16" t="n"/>
      <c r="E136" s="16" t="n"/>
      <c r="F136" s="17" t="n"/>
    </row>
    <row r="137">
      <c r="A137" s="9" t="n"/>
      <c r="B137" s="7" t="inlineStr">
        <is>
          <t>LOT 1 — NOSAČI ZA FOTONAPONSKE PANELE (GROUND SUPPORT)</t>
        </is>
      </c>
      <c r="C137" s="9" t="n"/>
      <c r="D137" s="9" t="n"/>
      <c r="E137" s="9" t="n"/>
      <c r="F137" s="8">
        <f>'LOT 1'!F50</f>
        <v/>
      </c>
    </row>
    <row r="138">
      <c r="A138" s="9" t="n"/>
      <c r="B138" s="7" t="inlineStr">
        <is>
          <t>LOT 2 — DIZEL ELEKTRIČNI AGREGAT U POSTOJEĆEM KONTEJNERU</t>
        </is>
      </c>
      <c r="C138" s="9" t="n"/>
      <c r="D138" s="9" t="n"/>
      <c r="E138" s="9" t="n"/>
      <c r="F138" s="8">
        <f>F134</f>
        <v/>
      </c>
    </row>
    <row r="139">
      <c r="A139" s="15" t="inlineStr">
        <is>
          <t>SVE UKUPNO (LOT 1 + LOT 2) bez PDV-a [KM]:</t>
        </is>
      </c>
      <c r="B139" s="16" t="n"/>
      <c r="C139" s="16" t="n"/>
      <c r="D139" s="16" t="n"/>
      <c r="E139" s="17" t="n"/>
      <c r="F139" s="10">
        <f>SUM(F137:F138)</f>
        <v/>
      </c>
    </row>
    <row r="140">
      <c r="A140" s="15" t="inlineStr">
        <is>
          <t>Popust [%]:</t>
        </is>
      </c>
    </row>
    <row r="141">
      <c r="A141" s="15" t="inlineStr">
        <is>
          <t>SVE UKUPNO sa popustom bez PDV-a [KM]:</t>
        </is>
      </c>
      <c r="F141">
        <f>F139*(1-IF(F140="",0,F140/100))</f>
        <v/>
      </c>
    </row>
    <row r="142">
      <c r="A142" s="15" t="inlineStr">
        <is>
          <t>Iznos PDV-a (17%) [KM]:</t>
        </is>
      </c>
      <c r="F142">
        <f>F141*0.17</f>
        <v/>
      </c>
    </row>
    <row r="143">
      <c r="A143" s="15" t="inlineStr">
        <is>
          <t>SVE UKUPNO sa popustom i PDV-om [KM]:</t>
        </is>
      </c>
      <c r="F143">
        <f>F141+F142</f>
        <v/>
      </c>
    </row>
    <row r="144"/>
    <row r="145">
      <c r="A145" s="22" t="inlineStr">
        <is>
          <t>NAPOMENA:</t>
        </is>
      </c>
    </row>
    <row r="146">
      <c r="A146" s="18" t="inlineStr">
        <is>
          <t>- Nabavka je podijeljena na dva LOT-a. Ponuđač može dostaviti ponudu za JEDAN ili OBA LOT-a. Ugovor se dodjeljuje po LOT-u, prema kriteriju najniže cijene tehnički zadovoljavajuće ponude.</t>
        </is>
      </c>
    </row>
    <row r="147">
      <c r="A147" s="18" t="inlineStr">
        <is>
          <t>- Procijenjena vrijednost nabavke: LOT 1 = 15.000,00 KM, LOT 2 = 35.000,00 KM, UKUPNO 50.000,00 KM bez PDV-a.</t>
        </is>
      </c>
    </row>
    <row r="148">
      <c r="A148" s="18" t="inlineStr">
        <is>
          <t>- Ugovorne obaveze nastaju po upućivanju pismenog zahtjeva/narudžbe od strane BH Telecom-a.</t>
        </is>
      </c>
    </row>
    <row r="149">
      <c r="A149" s="18" t="inlineStr">
        <is>
          <t>- Količine u Tačkama 2. i 5. su orijentacione i utvrđene na osnovu podataka iz RFI dokumenta i Projektnog zadatka. Konačne količine utvrđuju se elaboratom montaže i geodetskim snimkom, a obračunavaju se po stvarno izvedenim količinama.</t>
        </is>
      </c>
    </row>
    <row r="150">
      <c r="A150" s="18" t="inlineStr">
        <is>
          <t>- LOT 2 obuhvata montažu i uvezivanje sistema DO POTPUNE GOTOVOSTI.</t>
        </is>
      </c>
    </row>
    <row r="151">
      <c r="A151" s="18" t="inlineStr">
        <is>
          <t>- Orijentaciona potrošnja goriva agregata 22 kVA pri opterećenju od 75 % iznosi cca 3,2 l/h (procjena razmjerna snazi, u odnosu na ranije razmatran model od 18 kVA). Pri projektovanom godišnjem radu do 250 h (standby režim prema ISO 8528) to iznosi cca 800 l godišnje, odnosno spremnik od 500 l obezbjeđuje autonomiju od cca 7–8 mjeseci (cca 0,6 godine) između dopunjavanja. Ponuđač je dužan dostaviti stvarne podatke o potrošnji za ponuđeni tip DEA.</t>
        </is>
      </c>
    </row>
    <row r="152">
      <c r="A152" s="18" t="inlineStr">
        <is>
          <t>- Grafički prilozi (situacija postojećeg i budućeg stanja, presjek, dispozicija opreme) dati su u PRILOGU III tenderske dokumentacije.</t>
        </is>
      </c>
    </row>
    <row r="153"/>
    <row r="154">
      <c r="B154" s="1" t="inlineStr">
        <is>
          <t>Datum:  ___________________________</t>
        </is>
      </c>
      <c r="E154" s="1" t="inlineStr">
        <is>
          <t>Potpis i pečat Ponuđača:  ___________________________</t>
        </is>
      </c>
    </row>
  </sheetData>
  <mergeCells count="13">
    <mergeCell ref="A138:E138"/>
    <mergeCell ref="A145:F145"/>
    <mergeCell ref="A3:F3"/>
    <mergeCell ref="A2:F2"/>
    <mergeCell ref="A144:F144"/>
    <mergeCell ref="A137:E137"/>
    <mergeCell ref="A147:F147"/>
    <mergeCell ref="A136:E136"/>
    <mergeCell ref="A55:E55"/>
    <mergeCell ref="A135:E135"/>
    <mergeCell ref="A134:E134"/>
    <mergeCell ref="A146:F146"/>
    <mergeCell ref="A127:E127"/>
  </mergeCells>
  <pageMargins left="0.7" right="0.7" top="0.75" bottom="0.75" header="0.3" footer="0.3"/>
  <pageSetup orientation="portrait" paperSize="9"/>
  <headerFooter>
    <oddHeader>&amp;R&amp;"Times New Roman,Regular"&amp;12&amp;K000000 &amp;"Arial,Regular"&amp;10 &amp;K000000[BH Telecom | &amp;BInterno&amp;B]</oddHeader>
    <oddFooter/>
    <evenHeader>&amp;R&amp;"Times New Roman,Regular"&amp;12&amp;K000000 &amp;"Arial,Regular"&amp;10 &amp;K000000[BH Telecom | &amp;BInterno&amp;B]</evenHeader>
    <evenFooter/>
    <firstHeader>&amp;R&amp;"Times New Roman,Regular"&amp;12&amp;K000000 &amp;"Arial,Regular"&amp;10 &amp;K000000[BH Telecom | &amp;BInterno&amp;B]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2026-08-06T15:05:01Z</dcterms:created>
  <dcterms:modified xmlns:dcterms="http://purl.org/dc/terms/" xmlns:xsi="http://www.w3.org/2001/XMLSchema-instance" xsi:type="dcterms:W3CDTF">2026-08-11T09:59:49Z</dcterms:modified>
  <cp:lastModifiedBy>Rusmir Skopljak</cp:lastModifiedBy>
  <cp:keywords xml:space="preserve"> [BH Telecom | Interno]</cp:keywords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8fb2bdcd-5e0f-4d13-acfc-f618c7274118</vt:lpwstr>
  </property>
  <property name="bjSaver" fmtid="{D5CDD505-2E9C-101B-9397-08002B2CF9AE}" pid="3">
    <vt:lpwstr xmlns:vt="http://schemas.openxmlformats.org/officeDocument/2006/docPropsVTypes">PBKzKNjp5eaEU3tBjVgEWI+fS8Y9fUcj</vt:lpwstr>
  </property>
  <property name="bjDocumentLabelXML" fmtid="{D5CDD505-2E9C-101B-9397-08002B2CF9AE}" pid="4">
    <vt:lpwstr xmlns:vt="http://schemas.openxmlformats.org/officeDocument/2006/docPropsVTypes">&lt;?xml version="1.0" encoding="us-ascii"?&gt;&lt;sisl xmlns:xsi="http://www.w3.org/2001/XMLSchema-instance" xmlns:xsd="http://www.w3.org/2001/XMLSchema" sislVersion="0" policy="5f91bfb2-a9c1-45d0-8517-08b1f316eb15" origin="userSelected" xmlns="http://www.boldonj</vt:lpwstr>
  </property>
  <property name="bjDocumentLabelXML-0" fmtid="{D5CDD505-2E9C-101B-9397-08002B2CF9AE}" pid="5">
    <vt:lpwstr xmlns:vt="http://schemas.openxmlformats.org/officeDocument/2006/docPropsVTypes">ames.com/2008/01/sie/internal/label"&gt;&lt;element uid="id_classification_generalbusiness" value="" /&gt;&lt;/sisl&gt;</vt:lpwstr>
  </property>
  <property name="bjDocumentSecurityLabel" fmtid="{D5CDD505-2E9C-101B-9397-08002B2CF9AE}" pid="6">
    <vt:lpwstr xmlns:vt="http://schemas.openxmlformats.org/officeDocument/2006/docPropsVTypes">Interno</vt:lpwstr>
  </property>
  <property name="bjClsUserRVM" fmtid="{D5CDD505-2E9C-101B-9397-08002B2CF9AE}" pid="7">
    <vt:lpwstr xmlns:vt="http://schemas.openxmlformats.org/officeDocument/2006/docPropsVTypes">[]</vt:lpwstr>
  </property>
  <property name="bjLabelHistoryID" fmtid="{D5CDD505-2E9C-101B-9397-08002B2CF9AE}" pid="8">
    <vt:lpwstr xmlns:vt="http://schemas.openxmlformats.org/officeDocument/2006/docPropsVTypes">{740AF07F-B5FD-4336-9AA5-5B70F58EC679}</vt:lpwstr>
  </property>
  <property name="bjRightHeaderLabel-first" fmtid="{D5CDD505-2E9C-101B-9397-08002B2CF9AE}" pid="9">
    <vt:lpwstr xmlns:vt="http://schemas.openxmlformats.org/officeDocument/2006/docPropsVTypes">&amp;"Times New Roman,Regular"&amp;12&amp;K000000 &amp;"Arial,Regular"&amp;10&amp;K000000[BH Telecom | &amp;B&amp;K000000Interno&amp;B&amp;K000000]</vt:lpwstr>
  </property>
  <property name="bjRightHeaderLabel-even" fmtid="{D5CDD505-2E9C-101B-9397-08002B2CF9AE}" pid="10">
    <vt:lpwstr xmlns:vt="http://schemas.openxmlformats.org/officeDocument/2006/docPropsVTypes">&amp;"Times New Roman,Regular"&amp;12&amp;K000000 &amp;"Arial,Regular"&amp;10&amp;K000000[BH Telecom | &amp;B&amp;K000000Interno&amp;B&amp;K000000]</vt:lpwstr>
  </property>
  <property name="bjRightHeaderLabel" fmtid="{D5CDD505-2E9C-101B-9397-08002B2CF9AE}" pid="11">
    <vt:lpwstr xmlns:vt="http://schemas.openxmlformats.org/officeDocument/2006/docPropsVTypes">&amp;"Times New Roman,Regular"&amp;12&amp;K000000 &amp;"Arial,Regular"&amp;10&amp;K000000[BH Telecom | &amp;B&amp;K000000Interno&amp;B&amp;K000000]</vt:lpwstr>
  </property>
</Properties>
</file>