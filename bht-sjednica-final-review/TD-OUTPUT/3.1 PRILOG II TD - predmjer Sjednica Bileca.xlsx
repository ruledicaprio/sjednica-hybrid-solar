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OT 1" sheetId="1" state="visible" r:id="rId3"/>
    <sheet name="LOT 2"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<sst xmlns="http://schemas.openxmlformats.org/spreadsheetml/2006/main" count="227" uniqueCount="166">
  <si>
    <t xml:space="preserve">PRILOG II TD</t>
  </si>
  <si>
    <t xml:space="preserve">OBRAZAC ZA CIJENU PONUDE - LOT 1</t>
  </si>
  <si>
    <t xml:space="preserve">INFRASTRUKTURA I INSTALACIJA OPREME ZA AUTONOMNI HIBRIDNI SISTEM NAPAJANJA SJEDNICA, BILEĆA (LOT 1 i 2)</t>
  </si>
  <si>
    <t xml:space="preserve">Naziv Ponuđača:       __________________________________</t>
  </si>
  <si>
    <t xml:space="preserve">Ponuda br.:                __________________________________</t>
  </si>
  <si>
    <t xml:space="preserve">1</t>
  </si>
  <si>
    <t xml:space="preserve">2</t>
  </si>
  <si>
    <t xml:space="preserve">3</t>
  </si>
  <si>
    <t xml:space="preserve">4</t>
  </si>
  <si>
    <t xml:space="preserve">5</t>
  </si>
  <si>
    <t xml:space="preserve">6</t>
  </si>
  <si>
    <t xml:space="preserve">r.br.</t>
  </si>
  <si>
    <t xml:space="preserve">Opis stavke</t>
  </si>
  <si>
    <t xml:space="preserve">Jed. mjere</t>
  </si>
  <si>
    <t xml:space="preserve">Količina</t>
  </si>
  <si>
    <t xml:space="preserve">Jed. cijena u KM bez PDV-a</t>
  </si>
  <si>
    <t xml:space="preserve">Ukupna cijena u KM bez PDV-a  6=(4x5)</t>
  </si>
  <si>
    <t xml:space="preserve">LOT 1 — KONSTRUKCIJA NOSAČA ZA FOTONAPONSKE PANELE</t>
  </si>
  <si>
    <t xml:space="preserve">NOSAČI ZA FOTONAPONSKE PANELE</t>
  </si>
  <si>
    <t xml:space="preserve">1.1</t>
  </si>
  <si>
    <t xml:space="preserve">Isporuka i montaža nosive metalne konstrukcije (ground mount support) za prihvat fotonaponskih panela, karakteristika:
 - tip: CUSTOM IZRADA (izvan kataloga zbog opterećenja vjetrom, v. niže) — 3 nosača, svaki za 4 fotonaponska modula (2 reda × 2 kolone, portret); geometrija margina/prepusta preuzeta iz Huawei Standard A-Shaped Support 3.0 konvencije (PVM Tabela 4-20), ali poprečna greda izrađena po mjeri za 2 kolone modula, ne za kataloških 6
 - inklinacija: fiksno 45°, orijentacija JUG (azimut 180°). Nagib je zadržan zbog decembarskog prinosa — pri podnevnoj visini Sunca 23,6° na 42,94° N nagib 45° ostvaruje 93 % direktnog zračenja u odnosu na 85 % pri 35°, a decembar je mjerodavni mjesec za dimenzionisanje autonomnog sistema
 - gabariti PV polja po nosaču (2 reda × 2 modula, portret): širina polja 2305 mm (poprečna greda 2918 mm, bočni prepust 306,5 mm), dužina polja po nagibu 4576 mm (2 × 2278 mm, nepromijenjeno), horizontalna projekcija 3236 mm pri nagibu 45°; donja ivica panela na +0,50 m, gornja ivica na +3,74 m od nivoa terena
 - smještaj: nosači se temelje IZVAN ograđenog platoa, južno od ograde, u pojasu širine cca 1950 mm; odmak od ograde ponuđač utvrđuje pri poziciranju nosača tako da ravan panela nigdje ne dodiruje ogradu; gornja (sjeverna) ivica panela je 1,64 m iznad kote ograde h=2,10 m. Ponuđač provjerava da konstrukcija u cijelosti ostaje unutar zakupljene parcele 16,00 × 9,40 m
 - MJERODAVNO OPTEREĆENJE VJETROM: qp ≥ 1,20 kN/m² (udar 3 s ≈ 45 m/s) prema ovjerenoj projektnoj dokumentaciji lokacije i BAS EN 1991-1-4 sa BiH nacionalnim aneksom, uz primjenu faktora orografije za izloženi planinski vrh na 1076 m n.v. Koeficijent sile cf ≥ 1,5 pri 45° prema EN 1991-1-4 §7.3, osim ako se proračunom dokaže drugačije. Površina izloženosti vjetru 10,55 m² po nosaču (2305 × 4576 mm). Projektne sile po nosaču (GSN, γQ=1,5 / γG,fav=0,9): podizanje ≥18,1 kN, horizontalna sila ≥13,4 kN, moment prevrtanja ≥42,6 kNm. Mjerodavni su podizanje (uplift) i prevrtanje, a ne nosivost tla. NAPOMENA: kataloški nosač tipa A ima deklarisanu otpornost 31 m/s (0,52 kN/m²) pri 45° i 40 m/s (0,87 kN/m²) pri 15°/25°, što je ISPOD opterećenja ovog lokaliteta čak i za manje polje; Ponuđač je stoga dužan ponuditi konstrukciju dimenzionisanu i dokazanu za stvarno opterećenje lokaliteta, uz pisanu potvrdu proizvođača za konkretnu lokaciju (planinski vrh) ako se ipak nudi kataloški proizvod
 - materijal i izrada: konstrukcijski čelik S275JR (S355JR za stubove) prema EN 10025-2, šuplji profili prema EN 10219 — stubovi min. RHS 80×80×4, rigle min. RHS 60×40×3, ili bilo koji presjek za koji se proračunom dokaže najmanje jednak otporni moment; antikorozivna zaštita vrućim cinčanjem prema EN ISO 1461 min. 70 µm lokalno / 85 µm srednje (klasa korozivnosti C4); zavarivanje prema EN 1090-2 klasa izvedbe EXC2; CE označavanje i izjava o svojstvima prema EN 1090-1; konstrukcijski vijci M16 klase 8.8 prema EN 15048, pričvrsni pribor modula A2/A4 nehrđajući
 - spojni pribor: nehrđajući čelik A2/A4
 - uključeno ožičenje i povezivanje panela do PVDB distribucije preko po-string DC odvodnika prenapona (v. crtež E-01): 12 modula se povezuje u DVA STRINGA po 6 modula (string 1 — nosači PV-1 i PV-2; string 2 — nosači PV-2 i PV-3), po jedan string na svaku od dvije rute PVDB ormara</t>
  </si>
  <si>
    <t xml:space="preserve">kpl</t>
  </si>
  <si>
    <t xml:space="preserve">1.2</t>
  </si>
  <si>
    <t xml:space="preserve">Isporuka i ugradnja sistema sidrenja nosive konstrukcije iz Tačke 1.1 u stijenu/beton, hemijskim (epoksidnim) ankerima.
 - tip: hemijski (epoksidni/vinilesterski) anker M16 ili M20 sa ETA odobrenjem za ugradnju u beton i/ili stijenu, vruće cinčan ili nehrđajući A4
 - broj: najmanje 2 ankera po temeljnoj traci, odnosno 4 ankera po nosaču (minimum 2 po traci zbog redundanse)
 - nosivost: karakteristična sila čupanja ≥30 kN po ankeru; dubina ugradnje prema ETA za konkretnu podlogu. Ukupna projektna sila podizanja po nosaču ≥18,1 kN (GSN); sila po traci od momenta prevrtanja ≥26,6 kN pri razmaku traka 1600 mm
 - dokazivanje: ispitivanje čupanjem (pull-out test) na najmanje 10 % ugrađenih ankera, minimalno 2 po nosaču, do 1,5 × projektne sile, uz zapisnik ovjeren od nadzornog organa
 - alternativa: livena U-anker sidra M16, dužine 320 mm, razmaka krakova 180 mm, sa pločama 50×50 mm i dvostrukim maticama, dozvoljena su SAMO uz gravitacioni temelj zapremine ≥0,75 m³ po nosaču (tendovano 0,81 m³ po nosaču, v. Tačku 2.3) — momenat prevrtanja i dalje zahtijeva provjeru lokalnog istezanja trake, ne samo ukupne mase</t>
  </si>
  <si>
    <t xml:space="preserve">1.3</t>
  </si>
  <si>
    <t xml:space="preserve">Statički proračun nosive konstrukcije i temelja, ovjeren i potpisan od strane ovlaštenog inženjera.
 - dokaz otpornosti na pritisak vjetra qp ≥ 1,20 kN/m² pri nagibu 45°, prema BAS EN 1991-1-4 sa BiH nacionalnim aneksom, uključujući orografiju
 - dokaz na opterećenje snijegom prema BAS EN 1991-1-3 i na radijalni led 20 mm gustine 300 kg/m³
 - dokaz sigurnosti na podizanje (uplift) i prevrtanje prema EN 1990 (γQ,dst = 1,5; γG,stb = 0,9)
 - dimenzionisanje temelja i sidrenja prema stvarnim geotehničkim uslovima (kamenito tlo), uz navođenje dubine smrzavanja za lokalitet
NAPOMENA: proračun se dostavlja tokom realizacije kao uslov za primopredaju.</t>
  </si>
  <si>
    <t xml:space="preserve">1.4</t>
  </si>
  <si>
    <t xml:space="preserve">Uzemljenje nosivih konstrukcija: povezivanje sva tri nosača na postojeći prstenasti uzemljivač lokacije bakarnim užetom presjeka 50 mm² sa izolacijom otpornom na UV zračenje i ukopavanje, preko priključnih stezaljki na konstrukciji i bimetalnih (Cu/Fe-Zn) ukrsnih komada radi sprječavanja galvanske korozije. Presjek prema EN 62305-3, Tabela 7, za odvođenje atmosferskog pražnjenja. Kontinuitet svih spojeva ≤0,1 Ω, ukupni otpor uzemljenja ≤10 Ω. DC kablovi se polažu na razmaku ≥0,5 m od odvoda gromobranske instalacije (Huawei §4.1.3).</t>
  </si>
  <si>
    <t xml:space="preserve">1.5</t>
  </si>
  <si>
    <t xml:space="preserve">Dokumentacija izvedenog stanja za LOT 1: kataloška dokumentacija nosača sa tehničkim crtežima, statički proračun, atesti materijala i vrućeg cinčanja, garantni list.</t>
  </si>
  <si>
    <t xml:space="preserve">UKUPNO 1 — NOSAČI ZA FOTONAPONSKE PANELE:</t>
  </si>
  <si>
    <t xml:space="preserve">GRAĐEVINSKI RADOVI</t>
  </si>
  <si>
    <t xml:space="preserve">2.1</t>
  </si>
  <si>
    <t xml:space="preserve">Iskop zemlje/stijene IV-V kategorije za temeljne trake nosača, do donje ivice podložnog betona. Rov širine 550 mm, dubine 950 mm, dužine 3300 mm. 3 nosača × 2 trake × 1,725 m3</t>
  </si>
  <si>
    <t xml:space="preserve">m3</t>
  </si>
  <si>
    <t xml:space="preserve">2.2</t>
  </si>
  <si>
    <t xml:space="preserve">Zatrpavanje preostalog dijela rova zemljom od iskopa uz nabijanje u slojevima. Traka je pune dubine, pa se zatrpava samo klin uz kosinu rova. 3 nosača × 2 trake × 0,149 m3</t>
  </si>
  <si>
    <t xml:space="preserve">2.2a</t>
  </si>
  <si>
    <t xml:space="preserve">Odvoz i zbrinjavanje viška materijala od iskopa do deponije udaljene do 20 km.</t>
  </si>
  <si>
    <t xml:space="preserve">2.2b</t>
  </si>
  <si>
    <t xml:space="preserve">Nabavka materijala, transport i ugradnja podložnog betona C12/15 ispod temeljnih traka, prema zahtjevima proizvođača. 3 nosača × 2 trake × 0,091 m3</t>
  </si>
  <si>
    <t xml:space="preserve">2.3</t>
  </si>
  <si>
    <t xml:space="preserve">Nabavka materijala, transport i betoniranje DVIJE temeljne trake po nosaču, betonom C30/37 klase izloženosti XC4 + XF3 prema BAS EN 206 (aerant 4–6 %, Dmax 16, konzistencija S3), uz upotrebu oplate i njegovanje betona. Armatura B500B, zaštitni sloj ≥50 mm, prema ovjerenom statičkom proračunu iz Tačke 1.3. Obračun po m³ ugrađenog betona. Traka 450 mm (gore) / 550 mm (dolje) × 3300 mm, PUNE dubine 900 mm = 1,485 m³ po traci. 3 nosača × 2 trake × 1,485 m³
BETON I ARMATURA: beton klase C30/37, klase izloženosti XC4 + XF3 prema BAS EN 206, sa aerantom 4–6 %, Dmax 16, konzistencija S3; podložni beton C12/15 d=50 mm; armatura B500B, zaštitni sloj ≥50 mm. Klasa XF3 je mjerodavna zbog cikličnog smrzavanja i odmrzavanja u vlažnom stanju na 1076 m n.v. Temeljna spojnica mora biti ispod dubine smrzavanja za lokalitet, koju Ponuđač navodi u ponudi. Dubina 900 mm je tenderska osnova i mjerodavna je za ponudu; konačnu dubinu i armaturu potvrđuje ovjereni statički proračun iz Tačke 1.3. Traka se betonira punom dubinom rova — vlastita težina trake je dio dokaza sigurnosti na podizanje i prevrtanje.</t>
  </si>
  <si>
    <t xml:space="preserve">2.4</t>
  </si>
  <si>
    <t xml:space="preserve">Obrada vidljivih strana i gornje površine temeljnih traka cementnim malterom u nagibu 1,0 %, zaglađeno do crnog sjaja.</t>
  </si>
  <si>
    <t xml:space="preserve">m2</t>
  </si>
  <si>
    <t xml:space="preserve">2.5</t>
  </si>
  <si>
    <t xml:space="preserve">Ostali sitni građevinski i potrošni materijal.</t>
  </si>
  <si>
    <t xml:space="preserve">paušal</t>
  </si>
  <si>
    <t xml:space="preserve">UKUPNO 2 — GRAĐEVINSKI RADOVI ZA NOSAČE FN PANELA:</t>
  </si>
  <si>
    <t xml:space="preserve">UKUPNO LOT 1 — NOSAČI ZA FOTONAPONSKE PANELE (bez PDV-a):</t>
  </si>
  <si>
    <t xml:space="preserve">REKAPITULACIJA — LOT 1</t>
  </si>
  <si>
    <t xml:space="preserve">UKUPNO LOT 1 (bez PDV-a):</t>
  </si>
  <si>
    <t xml:space="preserve">Popust (%):</t>
  </si>
  <si>
    <t xml:space="preserve">UKUPNO LOT 1 sa popustom (bez PDV-a):</t>
  </si>
  <si>
    <t xml:space="preserve">PDV 17%:</t>
  </si>
  <si>
    <t xml:space="preserve">UKUPNO LOT 1 sa PDV-om:</t>
  </si>
  <si>
    <t xml:space="preserve">OBRAZAC ZA CIJENU PONUDE - LOT 2</t>
  </si>
  <si>
    <t xml:space="preserve">INFRASTRUKTURA I INSTALACIJA OPREME ZA AUTONOMNI HIBRIDNI SISTEM NAPAJANJA SJEDNICA, BILEĆA (LOT 2)</t>
  </si>
  <si>
    <t xml:space="preserve">Ponuda br.:              __________________________________</t>
  </si>
  <si>
    <t xml:space="preserve">LOT 2 - INSTALACIJA AGREGATSKOG POSTROJENJA ZA HIBRIDNI SISTEM NAPAJANJA</t>
  </si>
  <si>
    <t xml:space="preserve">AUTOMATSKI DIZEL ELEKTRIČNI AGREGAT (DEA) — TEHNIČKA SPECIFIKACIJA</t>
  </si>
  <si>
    <t xml:space="preserve">3.1</t>
  </si>
  <si>
    <t xml:space="preserve">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GRIJAČ RASHLADNE TEČNOSTI 230 V sa podesivim termostatom (obavezno — zimski rad).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neovisan strujni krug za grijač motora, servisna utičnica 230 V AC, rasvjeta KOA.
KOMUTACIJA — LOKACIJA NIJE PRIKLJUČENA NA ELEKTROENERGETSKU MREŽU: ne predviđa se mrežni sklopnik niti izbor izvora „mreža"; komutacija se izvodi između hibridnog sistema napajanja i agregata.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 230 V, programabilni, sa dojavom kvara, uvezan sa kontrolerom.</t>
  </si>
  <si>
    <t xml:space="preserve">AGREGAT ZA MONTAŽU U POSTOJEĆI KONTEJNER</t>
  </si>
  <si>
    <t xml:space="preserve">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4.4 OBAVEZAN. Vrijednost 2,00 kN/m² iz istog projekta odnosi se samo na pokretno opterećenje prohodnog dijela poda i nije mjerodavna za oslanjanje opreme.</t>
  </si>
  <si>
    <t xml:space="preserve">4.1</t>
  </si>
  <si>
    <t xml:space="preserve">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JUŽNE i 720 mm sa SJEVERNE strane (520 mm na dijelu gdje je GRO) te 1155 mm sa ISTOČNE strane. Sa 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</si>
  <si>
    <t xml:space="preserve">4.2</t>
  </si>
  <si>
    <t xml:space="preserve">Isporuka, montaža i povezivanje dvoplašnog spremnika dizel goriva zapremine 500 l (0,5 m³), od čeličnog lima, sa svim spojnim priborom, cjevovodima i armaturama. Zapremina spremnika nije predmet varijantnih rješenja i ne umanjuje se ni u slučaju ojačanja poda iz Tačke 4.4.
 - referentne dimenzije 1050 × 600 × 1310 mm, masa prazan 170 kg (pun ≈590 kg); smještaj u JUGOISTOČNI ugao kontejnera,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</si>
  <si>
    <t xml:space="preserve">4.3</t>
  </si>
  <si>
    <t xml:space="preserve">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</si>
  <si>
    <t xml:space="preserve">4.4</t>
  </si>
  <si>
    <t xml:space="preserve">Izrada i montaža fleksibilnog spoja od plastificiranog ceradnog platna sa protuokvirom od čelične trake 30 × 1,5 mm, prema dimenzijama hladnjaka ponuđenog agregata.</t>
  </si>
  <si>
    <t xml:space="preserve">4.5</t>
  </si>
  <si>
    <t xml:space="preserve">Izrada i montaža limenog kanala za odvod toplog zraka sa agregata, od pocinčanog lima d=1 mm, sa prirubnicama 30 × 1,5 mm, komplet sa fazonskim komadima i ovjesnim priborom. Kanal je PRELAZNI KOMAD od prirubnice hladnjaka do žaluzine 600 × 600 mm kroz ZAPADNI zid; hladnjak je 60 mm od zida, pa je razvijena površina ≈1,0 m². Stvarnu mjeru uzeti na licu mjesta prema ponuđenom agregatu.
RASPORED (OBAVEZNO, prema crtežu M-01): kanal se vodi najkraćim putem od radijatora kroz ZAPADNI zid kontejnera do izlazne žaluzine iz Tačke 4.7.</t>
  </si>
  <si>
    <t xml:space="preserve">4.6</t>
  </si>
  <si>
    <t xml:space="preserve">Isporuka i montaža fiksne žaluzine na kraju kanala za odvod toplog zraka, dimenzija 600 × 600 mm, sa zaštitnom mrežicom, komplet sa montažnim materijalom.
RASPORED (OBAVEZNO, prema crtežu M-01): žaluzina se ugrađuje u ZAPADNI zid kontejnera, na osi radijatora agregata. Topli zrak i izduv se NE smiju izbacivati prema SJEVERNOJ strani, gdje se nalaze postojeći vanjski ormari ICC360-HA1-C1 i MTS9302A i gdje se nalazi usis svježeg zraka.</t>
  </si>
  <si>
    <t xml:space="preserve">4.7</t>
  </si>
  <si>
    <t xml:space="preserve">Isporuka i montaža vanjske fiksne žaluzine za dovod svježeg zraka, dimenzija 500 × 700 mm, sa zaštitnom mrežicom. Žaluzine postaviti tako da se spriječi ulaz vode u kontejner prilikom padavina.
RASPORED (OBAVEZNO, prema crtežu M-01): žaluzina se ugrađuje u SJEVERNI zid kontejnera, na istočnom kraju, sa donjom ivicom na cca 0,30 m od poda. Sjeverna strana je zasjenjena i daje najhladniji usisni zrak, čime se poboljšava hlađenje agregata. Žaluzina se postavlja istočno od vanjskih ormara ICC360-HA1-C1/MTS9302A kako se ne bi usisavao topli zrak sa njih. Prostorna udaljenost od izduva i od odušne cijevi spremnika ≥3 m. Nije dozvoljeno izvesti dovod zraka kroz ulazna vrata.</t>
  </si>
  <si>
    <t xml:space="preserve">4.8</t>
  </si>
  <si>
    <t xml:space="preserve">Isporuka i montaža aksijalnog ventilatora za prinudnu ventilaciju prostora agregata, kapaciteta 1200 m³/h, Ø315 mm, sa termostatskim upravljanjem. Ventilator spojiti sa komandnim ormarom agregata tako da se prilikom uključenja agregata vrši i direktno uključenje ventilatora. Minimalna potrebna ventilacija prostora iznosi 120 m³/h (6 izmjena zraka na sat).
RASPORED (prema crtežu M-01): ventilator se ugrađuje u ISTOČNI zid kontejnera, u gornjoj zoni (donja ivica cca 1,75 m), sjeverno od ulaznih vrata.</t>
  </si>
  <si>
    <t xml:space="preserve">4.9</t>
  </si>
  <si>
    <t xml:space="preserve">Isporuka i montaža okrugle zaštitne rešetke na izlaznoj strani ventilatora, kao OZR-1/S/RAL/315 ili ekvivalent.</t>
  </si>
  <si>
    <t xml:space="preserve">4.10</t>
  </si>
  <si>
    <t xml:space="preserve">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ZAPADNI zid kontejnera, završetak IZNAD KROVA usmjeren naviše, sa hvatačem iskri.
NO 50: sa agregatom 18 kVA protok izduvnih gasova je 192 m³/h pri 413 °C, brzina 27,2 m/s (ispod uobičajenih 30 m/s), protutlak ≈1,9 kPa uz dozvoljenih 10,2 kPa.</t>
  </si>
  <si>
    <t xml:space="preserve">4.11</t>
  </si>
  <si>
    <t xml:space="preserve">Čišćenje i bojenje izduvnog cjevovoda bojom otpornom na temperaturu 600 °C.</t>
  </si>
  <si>
    <t xml:space="preserve">4.12</t>
  </si>
  <si>
    <t xml:space="preserve">Termička izolacija izduvnog sistema kamenom vunom d=50 mm i opšivanje izduvnog cjevovoda i lonca Al limom d=1 mm. Za trasu do 5 m iz Tačke 4.10 i vanjski prečnik izolacije ≈165 mm razvijena površina je ≈3,0 m².</t>
  </si>
  <si>
    <t xml:space="preserve">4.13</t>
  </si>
  <si>
    <t xml:space="preserve">Isporuka i ugradnja opreme za zimski rad: grijač prostora agregata sa termostatom, termoizolacija cjevovoda goriva i grijanje/zaštita spremnika od hladnog starta, komplet sa napajanjem i upravljanjem iz KOA.</t>
  </si>
  <si>
    <t xml:space="preserve">4.14</t>
  </si>
  <si>
    <t xml:space="preserve">Protupožarna zaštita i senzorika prostora agregata: automatski detektor dima na stropu, termojavljač povišene temperature (t&gt;30 °C) i snižene temperature (t&lt;10 °C), aparat za početno gašenje požara S-6 sa nosačem, te automatski uređaj za gašenje požara. Svi signali se prosljeđuju do razvodnog ormara signalizacije (ROS) i u nadzorni centar.</t>
  </si>
  <si>
    <t xml:space="preserve">4.15</t>
  </si>
  <si>
    <t xml:space="preserve">Prvo punjenje spremnika dizel gorivom EURO 5 / BAS EN 590, uključujući transport gorivom na lokaciju i pretakanje. Obračun po stvarno isporučenoj količini. Prvo punjenje je 250 l (spremnik 500 l se ne puni do vrha pri primopredaji).</t>
  </si>
  <si>
    <t xml:space="preserve">l</t>
  </si>
  <si>
    <t xml:space="preserve">4.16</t>
  </si>
  <si>
    <t xml:space="preserve">Sitni montažni materijal.</t>
  </si>
  <si>
    <t xml:space="preserve">4.17</t>
  </si>
  <si>
    <t xml:space="preserve">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</si>
  <si>
    <t xml:space="preserve">4.18</t>
  </si>
  <si>
    <t xml:space="preserve">Set rezervnih dijelova za 500 sati rada DEA po preporuci proizvođača.</t>
  </si>
  <si>
    <t xml:space="preserve">4.19</t>
  </si>
  <si>
    <t xml:space="preserve">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</si>
  <si>
    <t xml:space="preserve">4.20</t>
  </si>
  <si>
    <t xml:space="preserve">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</si>
  <si>
    <t xml:space="preserve">UKUPNO 4 — AGREGAT ZA MONTAŽU U KONTEJNER:</t>
  </si>
  <si>
    <t xml:space="preserve">ELEKTROMONTAŽNI RADOVI</t>
  </si>
  <si>
    <t xml:space="preserve">5.1</t>
  </si>
  <si>
    <t xml:space="preserve">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</si>
  <si>
    <t xml:space="preserve">m1</t>
  </si>
  <si>
    <t xml:space="preserve">5.2</t>
  </si>
  <si>
    <t xml:space="preserve">Isporuka i polaganje alkaten PEHD cijevi Ø50 za uvlačenje napojnog energetskog kabla, DC solarnih kablova i kabla za daljinski nadzor. Na cijevi položiti upozoravajuću PVC traku "PAŽNJA ENERGETSKI KABEL". 3 cijevi × 15,00 m</t>
  </si>
  <si>
    <t xml:space="preserve">m</t>
  </si>
  <si>
    <t xml:space="preserve">5.3</t>
  </si>
  <si>
    <t xml:space="preserve">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</si>
  <si>
    <t xml:space="preserve">5.4</t>
  </si>
  <si>
    <t xml:space="preserve">Isporuka i montaža FeZn 60×60 mm ukrsnih komada za povezivanje uzemljivačke trake na postojeći sistem uzemljenja i na nosive konstrukcije FN panela.</t>
  </si>
  <si>
    <t xml:space="preserve">kom</t>
  </si>
  <si>
    <t xml:space="preserve">5.5</t>
  </si>
  <si>
    <t xml:space="preserve">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</si>
  <si>
    <t xml:space="preserve">5.6</t>
  </si>
  <si>
    <t xml:space="preserve">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1-„hibridni sistem", 0-„isključeno", 2-„agregat"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</si>
  <si>
    <t xml:space="preserve">5.7</t>
  </si>
  <si>
    <t xml:space="preserve">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</si>
  <si>
    <t xml:space="preserve">5.8</t>
  </si>
  <si>
    <t xml:space="preserve">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</si>
  <si>
    <t xml:space="preserve">5.9</t>
  </si>
  <si>
    <t xml:space="preserve">Ostali sitni montažni i potrošni materijal.</t>
  </si>
  <si>
    <t xml:space="preserve">5.10</t>
  </si>
  <si>
    <t xml:space="preserve">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izvodi se kao ZASEBAN NADZIRANI strujni krug, sa nadzorom prisustva napona i strujnim nadzorom ispravnosti svjetiljke, i dojavom ispada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</si>
  <si>
    <t xml:space="preserve">5.11</t>
  </si>
  <si>
    <t xml:space="preserve">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</si>
  <si>
    <t xml:space="preserve">5.12</t>
  </si>
  <si>
    <t xml:space="preserve">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</si>
  <si>
    <t xml:space="preserve">5.13</t>
  </si>
  <si>
    <t xml:space="preserve">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</si>
  <si>
    <t xml:space="preserve">5.14</t>
  </si>
  <si>
    <t xml:space="preserve">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</si>
  <si>
    <t xml:space="preserve">UKUPNO 5 — ELEKTROMONTAŽNI RADOVI:</t>
  </si>
  <si>
    <t xml:space="preserve">PUŠTANJE U RAD, OBUKA I DOKUMENTACIJA (DO POTPUNE GOTOVOSTI)</t>
  </si>
  <si>
    <t xml:space="preserve">6.1</t>
  </si>
  <si>
    <t xml:space="preserve">Puštanje u rad kompletnog sistema, funkcionalno testiranje automatskog starta DEA po kriteriju stanja baterija, testiranje prelaska izvora i 72-satni probni rad sa zapisom parametara.</t>
  </si>
  <si>
    <t xml:space="preserve">6.2</t>
  </si>
  <si>
    <t xml:space="preserve">Uvezivanje kontrolera DEA u krovni sistem nadzora i upravljanja BH Telecom-a (NetEco Management System), sa isporukom licenciranog softverskog paketa, instalacijom u nadzornom centru, uvezivanjem do najbližeg switcha i testiranjem prosljeđivanja alarma.</t>
  </si>
  <si>
    <t xml:space="preserve">6.3</t>
  </si>
  <si>
    <t xml:space="preserve">Obuka osoblja Investitora (do 4 osobe) za rukovanje i osnovno održavanje sistema, u trajanju od min. 1 radnog dana.</t>
  </si>
  <si>
    <t xml:space="preserve">6.4</t>
  </si>
  <si>
    <t xml:space="preserve">Izrada dokumentacije izvedenog stanja za kompletan LOT 2 (elektro, mašinski i građevinski dio), u 3 štampana primjerka i u elektronskoj formi (PDF + izvorni DWG/DOCX).</t>
  </si>
  <si>
    <t xml:space="preserve">UKUPNO 6 — PUŠTANJE U RAD, OBUKA I DOKUMENTACIJA:</t>
  </si>
  <si>
    <t xml:space="preserve">UKUPNO LOT 2 — DEA U POSTOJEĆEM KONTEJNERU (bez PDV-a):</t>
  </si>
  <si>
    <t xml:space="preserve">REKAPITULACIJA</t>
  </si>
  <si>
    <t xml:space="preserve">SVE UKUPNO (LOT 1 + LOT 2) bez PDV-a [KM]:</t>
  </si>
  <si>
    <t xml:space="preserve">Popust [%]:</t>
  </si>
  <si>
    <t xml:space="preserve">SVE UKUPNO sa popustom bez PDV-a [KM]:</t>
  </si>
  <si>
    <t xml:space="preserve">Iznos PDV-a (17%) [KM]:</t>
  </si>
  <si>
    <t xml:space="preserve">SVE UKUPNO sa popustom i PDV-om [KM]:</t>
  </si>
  <si>
    <t xml:space="preserve">NAPOMENA:</t>
  </si>
  <si>
    <t xml:space="preserve">- Nabavka je podijeljena na dva LOT-a. Ponuđač može dostaviti ponudu za JEDAN ili OBA LOT-a. Ugovor se dodjeljuje po LOT-u, prema kriteriju najniže cijene tehnički zadovoljavajuće ponude.</t>
  </si>
  <si>
    <t xml:space="preserve">- Ugovorne obaveze nastaju po upućivanju pismenog zahtjeva/narudžbe od strane BH Telecom-a.</t>
  </si>
  <si>
    <t xml:space="preserve">- Količine u Tačkama 2. i 5. su orijentacione i utvrđene na osnovu podataka iz RFI dokumente. Konačne količine utvrđuju se elaboratom montaže i geodetskim snimkom, a obračunavaju se po stvarno izvedenim količinama.</t>
  </si>
  <si>
    <t xml:space="preserve">- LOT 2 obuhvata montažu i uvezivanje sistema DO POTPUNE GOTOVOSTI.</t>
  </si>
  <si>
    <t xml:space="preserve">- Grafički prilozi (situacija postojećeg i budućeg stanja, presjek, dispozicija opreme) dati su u PRILOGU III tenderske dokumentacije.</t>
  </si>
  <si>
    <t xml:space="preserve">Datum:  ___________________________</t>
  </si>
  <si>
    <t xml:space="preserve">Potpis i pečat Ponuđača:  ___________________________</t>
  </si>
</sst>
</file>

<file path=xl/styles.xml><?xml version="1.0" encoding="utf-8"?>
<styleSheet xmlns="http://schemas.openxmlformats.org/spreadsheetml/2006/main">
  <numFmts count="3">
    <numFmt numFmtId="164" formatCode="General"/>
    <numFmt numFmtId="165" formatCode="#,##0.00&quot; KM&quot;"/>
    <numFmt numFmtId="166" formatCode="#,##0.00"/>
  </numFmts>
  <fonts count="21">
    <font>
      <sz val="11"/>
      <color theme="1"/>
      <name val="Calibri"/>
      <family val="2"/>
      <charset val="1"/>
    </font>
    <font>
      <sz val="10"/>
      <name val="Arial"/>
      <family val="0"/>
    </font>
    <font>
      <sz val="10"/>
      <name val="Arial"/>
      <family val="0"/>
    </font>
    <font>
      <sz val="10"/>
      <name val="Arial"/>
      <family val="0"/>
    </font>
    <font>
      <b val="true"/>
      <sz val="11"/>
      <name val="Arial"/>
      <family val="2"/>
      <charset val="238"/>
    </font>
    <font>
      <sz val="11"/>
      <name val="Arial"/>
      <family val="2"/>
      <charset val="238"/>
    </font>
    <font>
      <i val="true"/>
      <sz val="9"/>
      <name val="Arial"/>
      <family val="0"/>
      <charset val="1"/>
    </font>
    <font>
      <b val="true"/>
      <sz val="9"/>
      <name val="Arial"/>
      <family val="0"/>
      <charset val="1"/>
    </font>
    <font>
      <b val="true"/>
      <sz val="10"/>
      <name val="Arial"/>
      <family val="0"/>
      <charset val="1"/>
    </font>
    <font>
      <sz val="9"/>
      <name val="Arial"/>
      <family val="0"/>
      <charset val="1"/>
    </font>
    <font>
      <sz val="9"/>
      <name val="Arial"/>
      <family val="2"/>
      <charset val="238"/>
    </font>
    <font>
      <b val="true"/>
      <sz val="10"/>
      <name val="Arial"/>
      <family val="2"/>
      <charset val="238"/>
    </font>
    <font>
      <b val="true"/>
      <sz val="10"/>
      <name val="Cambria"/>
      <family val="0"/>
      <charset val="1"/>
    </font>
    <font>
      <sz val="10"/>
      <name val="Cambria"/>
      <family val="0"/>
      <charset val="1"/>
    </font>
    <font>
      <sz val="11"/>
      <color theme="1"/>
      <name val="Arial"/>
      <family val="2"/>
      <charset val="1"/>
    </font>
    <font>
      <sz val="9"/>
      <name val="Arial"/>
      <family val="2"/>
      <charset val="1"/>
    </font>
    <font>
      <i val="true"/>
      <sz val="9"/>
      <name val="Arial"/>
      <family val="2"/>
      <charset val="1"/>
    </font>
    <font>
      <b val="true"/>
      <sz val="9"/>
      <name val="Arial"/>
      <family val="2"/>
      <charset val="1"/>
    </font>
    <font>
      <b val="true"/>
      <sz val="10"/>
      <name val="Arial"/>
      <family val="2"/>
      <charset val="1"/>
    </font>
    <font>
      <sz val="9"/>
      <color theme="1"/>
      <name val="Arial"/>
      <family val="2"/>
      <charset val="1"/>
    </font>
    <font>
      <b val="true"/>
      <sz val="9"/>
      <name val="Arial"/>
      <family val="2"/>
      <charset val="238"/>
    </font>
  </fonts>
  <fills count="8">
    <fill>
      <patternFill patternType="none"/>
    </fill>
    <fill>
      <patternFill patternType="gray125"/>
    </fill>
    <fill>
      <patternFill patternType="solid">
        <fgColor rgb="FFE8E8E8"/>
        <bgColor rgb="FFEBF1DE"/>
      </patternFill>
    </fill>
    <fill>
      <patternFill patternType="solid">
        <fgColor theme="6" tint="0.7999"/>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diagonalUp="false" diagonalDown="false">
      <left/>
      <right/>
      <top/>
      <bottom/>
      <diagonal/>
    </border>
    <border diagonalUp="false" diagonalDown="false">
      <left style="thin"/>
      <right style="thin">
        <color rgb="FF808080"/>
      </right>
      <top style="thin"/>
      <bottom/>
      <diagonal/>
    </border>
    <border diagonalUp="false" diagonalDown="false">
      <left style="thin">
        <color rgb="FF808080"/>
      </left>
      <right style="thin">
        <color rgb="FF808080"/>
      </right>
      <top style="thin"/>
      <bottom/>
      <diagonal/>
    </border>
    <border diagonalUp="false" diagonalDown="false">
      <left style="thin">
        <color rgb="FF808080"/>
      </left>
      <right style="thin"/>
      <top style="thin"/>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thin"/>
      <top style="thin"/>
      <bottom/>
      <diagonal/>
    </border>
    <border diagonalUp="false" diagonalDown="false">
      <left style="thin"/>
      <right style="thin">
        <color rgb="FF808080"/>
      </right>
      <top style="thin"/>
      <bottom style="thin"/>
      <diagonal/>
    </border>
    <border diagonalUp="false" diagonalDown="false">
      <left/>
      <right style="thin">
        <color rgb="FF808080"/>
      </right>
      <top style="thin"/>
      <bottom style="thin"/>
      <diagonal/>
    </border>
    <border diagonalUp="false" diagonalDown="false">
      <left style="thin">
        <color rgb="FF808080"/>
      </left>
      <right style="thin"/>
      <top/>
      <bottom style="thin"/>
      <diagonal/>
    </border>
    <border diagonalUp="false" diagonalDown="false">
      <left style="thin">
        <color rgb="FF808080"/>
      </left>
      <right style="thin">
        <color rgb="FF808080"/>
      </right>
      <top style="thin">
        <color rgb="FF808080"/>
      </top>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style="thin">
        <color rgb="FF808080"/>
      </bottom>
      <diagonal/>
    </border>
    <border diagonalUp="false" diagonalDown="false">
      <left style="thin">
        <color rgb="FF808080"/>
      </left>
      <right style="thin">
        <color rgb="FF808080"/>
      </right>
      <top style="thin"/>
      <bottom style="thin"/>
      <diagonal/>
    </border>
    <border diagonalUp="false" diagonalDown="false">
      <left style="thin">
        <color rgb="FF808080"/>
      </left>
      <right style="thin"/>
      <top style="thin"/>
      <bottom style="thin"/>
      <diagonal/>
    </border>
    <border diagonalUp="false" diagonalDown="false">
      <left style="thin">
        <color rgb="FF808080"/>
      </left>
      <right/>
      <top style="thin"/>
      <bottom style="thin">
        <color rgb="FF808080"/>
      </bottom>
      <diagonal/>
    </border>
    <border diagonalUp="false" diagonalDown="false">
      <left/>
      <right/>
      <top style="thin"/>
      <bottom style="thin">
        <color rgb="FF808080"/>
      </bottom>
      <diagonal/>
    </border>
    <border diagonalUp="false" diagonalDown="false">
      <left/>
      <right style="thin">
        <color rgb="FF808080"/>
      </right>
      <top style="thin"/>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4" fontId="7" fillId="2" borderId="4" xfId="0" applyFont="true" applyBorder="true" applyAlignment="true" applyProtection="false">
      <alignment horizontal="center" vertical="center" textRotation="0" wrapText="true" indent="0" shrinkToFit="false"/>
      <protection locked="true" hidden="false"/>
    </xf>
    <xf numFmtId="164" fontId="7" fillId="2" borderId="4" xfId="0" applyFont="true" applyBorder="true" applyAlignment="true" applyProtection="false">
      <alignment horizontal="general" vertical="center" textRotation="0" wrapText="true" indent="0" shrinkToFit="false"/>
      <protection locked="true" hidden="false"/>
    </xf>
    <xf numFmtId="164" fontId="0" fillId="3" borderId="5" xfId="0" applyFont="false" applyBorder="true" applyAlignment="true" applyProtection="false">
      <alignment horizontal="general" vertical="bottom" textRotation="0" wrapText="false" indent="0" shrinkToFit="false"/>
      <protection locked="true" hidden="false"/>
    </xf>
    <xf numFmtId="164" fontId="8" fillId="3" borderId="5" xfId="0" applyFont="true" applyBorder="true" applyAlignment="true" applyProtection="false">
      <alignment horizontal="general" vertical="center" textRotation="0" wrapText="false" indent="0" shrinkToFit="false"/>
      <protection locked="true" hidden="false"/>
    </xf>
    <xf numFmtId="164" fontId="0" fillId="3" borderId="6" xfId="0" applyFont="false" applyBorder="true" applyAlignment="true" applyProtection="false">
      <alignment horizontal="general" vertical="center" textRotation="0" wrapText="false" indent="0" shrinkToFit="false"/>
      <protection locked="true" hidden="false"/>
    </xf>
    <xf numFmtId="164" fontId="8" fillId="3" borderId="6" xfId="0" applyFont="true" applyBorder="true" applyAlignment="true" applyProtection="false">
      <alignment horizontal="right" vertical="center" textRotation="0" wrapText="false" indent="0" shrinkToFit="false"/>
      <protection locked="true" hidden="false"/>
    </xf>
    <xf numFmtId="165" fontId="8" fillId="3" borderId="7" xfId="0" applyFont="true" applyBorder="true" applyAlignment="true" applyProtection="false">
      <alignment horizontal="center" vertical="center" textRotation="0" wrapText="false" indent="0" shrinkToFit="false"/>
      <protection locked="true" hidden="false"/>
    </xf>
    <xf numFmtId="164" fontId="7" fillId="2" borderId="8" xfId="0" applyFont="true" applyBorder="true" applyAlignment="true" applyProtection="false">
      <alignment horizontal="center" vertical="center" textRotation="0" wrapText="false" indent="0" shrinkToFit="false"/>
      <protection locked="true" hidden="false"/>
    </xf>
    <xf numFmtId="164" fontId="7" fillId="2" borderId="9" xfId="0" applyFont="true" applyBorder="true" applyAlignment="true" applyProtection="false">
      <alignment horizontal="general" vertical="center" textRotation="0" wrapText="true" indent="0" shrinkToFit="false"/>
      <protection locked="true" hidden="false"/>
    </xf>
    <xf numFmtId="164" fontId="0" fillId="2" borderId="10" xfId="0" applyFont="false" applyBorder="true" applyAlignment="true" applyProtection="false">
      <alignment horizontal="general" vertical="center" textRotation="0" wrapText="false" indent="0" shrinkToFit="false"/>
      <protection locked="true" hidden="false"/>
    </xf>
    <xf numFmtId="164" fontId="0" fillId="2" borderId="11" xfId="0" applyFont="false" applyBorder="true" applyAlignment="true" applyProtection="false">
      <alignment horizontal="general" vertical="center" textRotation="0" wrapText="false" indent="0" shrinkToFit="false"/>
      <protection locked="true" hidden="false"/>
    </xf>
    <xf numFmtId="164" fontId="9" fillId="0" borderId="12" xfId="0" applyFont="true" applyBorder="true" applyAlignment="true" applyProtection="false">
      <alignment horizontal="center" vertical="center" textRotation="0" wrapText="false" indent="0" shrinkToFit="false"/>
      <protection locked="true" hidden="false"/>
    </xf>
    <xf numFmtId="164" fontId="10" fillId="4" borderId="12" xfId="0" applyFont="true" applyBorder="true" applyAlignment="true" applyProtection="false">
      <alignment horizontal="general" vertical="top" textRotation="0" wrapText="true" indent="0" shrinkToFit="false"/>
      <protection locked="true" hidden="false"/>
    </xf>
    <xf numFmtId="164" fontId="9" fillId="4" borderId="12" xfId="0" applyFont="true" applyBorder="true" applyAlignment="true" applyProtection="false">
      <alignment horizontal="center" vertical="center" textRotation="0" wrapText="false" indent="0" shrinkToFit="false"/>
      <protection locked="true" hidden="false"/>
    </xf>
    <xf numFmtId="166" fontId="0" fillId="0" borderId="12" xfId="0" applyFont="false" applyBorder="true" applyAlignment="true" applyProtection="false">
      <alignment horizontal="general" vertical="bottom" textRotation="0" wrapText="false" indent="0" shrinkToFit="false"/>
      <protection locked="true" hidden="false"/>
    </xf>
    <xf numFmtId="164" fontId="9" fillId="0" borderId="4" xfId="0" applyFont="true" applyBorder="true" applyAlignment="true" applyProtection="false">
      <alignment horizontal="center" vertical="center" textRotation="0" wrapText="false" indent="0" shrinkToFit="false"/>
      <protection locked="true" hidden="false"/>
    </xf>
    <xf numFmtId="164" fontId="9" fillId="4" borderId="4" xfId="0" applyFont="true" applyBorder="true" applyAlignment="true" applyProtection="false">
      <alignment horizontal="general" vertical="top" textRotation="0" wrapText="true" indent="0" shrinkToFit="false"/>
      <protection locked="true" hidden="false"/>
    </xf>
    <xf numFmtId="164" fontId="9" fillId="4" borderId="4" xfId="0" applyFont="true" applyBorder="true" applyAlignment="true" applyProtection="false">
      <alignment horizontal="center" vertical="center" textRotation="0" wrapText="false" indent="0" shrinkToFit="false"/>
      <protection locked="true" hidden="false"/>
    </xf>
    <xf numFmtId="166" fontId="0" fillId="0" borderId="4" xfId="0" applyFont="false" applyBorder="true" applyAlignment="true" applyProtection="false">
      <alignment horizontal="general" vertical="bottom" textRotation="0" wrapText="false" indent="0" shrinkToFit="false"/>
      <protection locked="true" hidden="false"/>
    </xf>
    <xf numFmtId="164" fontId="10" fillId="4" borderId="4"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5" borderId="13" xfId="0" applyFont="true" applyBorder="true" applyAlignment="true" applyProtection="false">
      <alignment horizontal="righ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14" xfId="0" applyFont="false" applyBorder="true" applyAlignment="true" applyProtection="false">
      <alignment horizontal="general" vertical="bottom" textRotation="0" wrapText="false" indent="0" shrinkToFit="false"/>
      <protection locked="true" hidden="false"/>
    </xf>
    <xf numFmtId="166" fontId="11" fillId="5" borderId="15" xfId="0" applyFont="true" applyBorder="true" applyAlignment="true" applyProtection="false">
      <alignment horizontal="general" vertical="bottom" textRotation="0" wrapText="false" indent="0" shrinkToFit="false"/>
      <protection locked="true" hidden="false"/>
    </xf>
    <xf numFmtId="164" fontId="7" fillId="2" borderId="16" xfId="0" applyFont="true" applyBorder="true" applyAlignment="true" applyProtection="false">
      <alignment horizontal="center" vertical="center" textRotation="0" wrapText="false" indent="0" shrinkToFit="false"/>
      <protection locked="true" hidden="false"/>
    </xf>
    <xf numFmtId="164" fontId="7" fillId="2" borderId="16" xfId="0" applyFont="true" applyBorder="true" applyAlignment="true" applyProtection="false">
      <alignment horizontal="general" vertical="top" textRotation="0" wrapText="true" indent="0" shrinkToFit="false"/>
      <protection locked="true" hidden="false"/>
    </xf>
    <xf numFmtId="164" fontId="0" fillId="2" borderId="16" xfId="0" applyFont="false" applyBorder="true" applyAlignment="true" applyProtection="false">
      <alignment horizontal="general" vertical="bottom" textRotation="0" wrapText="false" indent="0" shrinkToFit="false"/>
      <protection locked="true" hidden="false"/>
    </xf>
    <xf numFmtId="164" fontId="9" fillId="0" borderId="16" xfId="0" applyFont="true" applyBorder="true" applyAlignment="true" applyProtection="false">
      <alignment horizontal="center" vertical="center" textRotation="0" wrapText="false" indent="0" shrinkToFit="false"/>
      <protection locked="true" hidden="false"/>
    </xf>
    <xf numFmtId="164" fontId="10" fillId="4" borderId="16" xfId="0" applyFont="true" applyBorder="true" applyAlignment="true" applyProtection="false">
      <alignment horizontal="general" vertical="top" textRotation="0" wrapText="true" indent="0" shrinkToFit="false"/>
      <protection locked="true" hidden="false"/>
    </xf>
    <xf numFmtId="164" fontId="9" fillId="4" borderId="16" xfId="0" applyFont="true" applyBorder="true" applyAlignment="true" applyProtection="false">
      <alignment horizontal="center" vertical="center" textRotation="0" wrapText="false" indent="0" shrinkToFit="false"/>
      <protection locked="true" hidden="false"/>
    </xf>
    <xf numFmtId="166" fontId="0" fillId="0" borderId="16" xfId="0" applyFont="false" applyBorder="true" applyAlignment="true" applyProtection="false">
      <alignment horizontal="general" vertical="bottom" textRotation="0" wrapText="false" indent="0" shrinkToFit="false"/>
      <protection locked="true" hidden="false"/>
    </xf>
    <xf numFmtId="164" fontId="9" fillId="4" borderId="16" xfId="0" applyFont="true" applyBorder="tru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7" fillId="5" borderId="16" xfId="0" applyFont="true" applyBorder="true" applyAlignment="true" applyProtection="false">
      <alignment horizontal="right" vertical="center" textRotation="0" wrapText="false" indent="0" shrinkToFit="false"/>
      <protection locked="true" hidden="false"/>
    </xf>
    <xf numFmtId="164" fontId="0" fillId="0" borderId="17" xfId="0" applyFont="false" applyBorder="true" applyAlignment="true" applyProtection="false">
      <alignment horizontal="general" vertical="bottom" textRotation="0" wrapText="false" indent="0" shrinkToFit="false"/>
      <protection locked="true" hidden="false"/>
    </xf>
    <xf numFmtId="164" fontId="0" fillId="0" borderId="18" xfId="0" applyFont="false" applyBorder="true" applyAlignment="true" applyProtection="false">
      <alignment horizontal="general" vertical="bottom" textRotation="0" wrapText="false" indent="0" shrinkToFit="false"/>
      <protection locked="true" hidden="false"/>
    </xf>
    <xf numFmtId="166" fontId="7" fillId="5" borderId="16" xfId="0" applyFont="true" applyBorder="true" applyAlignment="true" applyProtection="false">
      <alignment horizontal="general" vertical="bottom" textRotation="0" wrapText="false" indent="0" shrinkToFit="false"/>
      <protection locked="true" hidden="false"/>
    </xf>
    <xf numFmtId="164" fontId="8" fillId="6" borderId="16" xfId="0" applyFont="true" applyBorder="true" applyAlignment="true" applyProtection="false">
      <alignment horizontal="right" vertical="center" textRotation="0" wrapText="false" indent="0" shrinkToFit="false"/>
      <protection locked="true" hidden="false"/>
    </xf>
    <xf numFmtId="166" fontId="8" fillId="6" borderId="16" xfId="0" applyFont="true" applyBorder="true" applyAlignment="true" applyProtection="false">
      <alignment horizontal="general" vertical="bottom" textRotation="0" wrapText="false" indent="0" shrinkToFit="false"/>
      <protection locked="true" hidden="false"/>
    </xf>
    <xf numFmtId="164" fontId="12" fillId="0" borderId="4" xfId="0" applyFont="true" applyBorder="true" applyAlignment="true" applyProtection="false">
      <alignment horizontal="left"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6" fontId="12" fillId="0" borderId="4" xfId="0" applyFont="true" applyBorder="true" applyAlignment="tru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6" fontId="13"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7" fillId="2" borderId="13" xfId="0" applyFont="true" applyBorder="true" applyAlignment="true" applyProtection="false">
      <alignment horizontal="center" vertical="center" textRotation="0" wrapText="true" indent="0" shrinkToFit="false"/>
      <protection locked="true" hidden="false"/>
    </xf>
    <xf numFmtId="164" fontId="17" fillId="2" borderId="19" xfId="0" applyFont="true" applyBorder="true" applyAlignment="true" applyProtection="false">
      <alignment horizontal="general" vertical="center" textRotation="0" wrapText="true" indent="0" shrinkToFit="false"/>
      <protection locked="true" hidden="false"/>
    </xf>
    <xf numFmtId="164" fontId="7" fillId="2" borderId="19" xfId="0" applyFont="true" applyBorder="true" applyAlignment="true" applyProtection="false">
      <alignment horizontal="center" vertical="center" textRotation="0" wrapText="true" indent="0" shrinkToFit="false"/>
      <protection locked="true" hidden="false"/>
    </xf>
    <xf numFmtId="164" fontId="7" fillId="2" borderId="20" xfId="0" applyFont="true" applyBorder="true" applyAlignment="true" applyProtection="false">
      <alignment horizontal="center" vertical="center" textRotation="0" wrapText="true" indent="0" shrinkToFit="false"/>
      <protection locked="true" hidden="false"/>
    </xf>
    <xf numFmtId="164" fontId="11" fillId="7" borderId="21" xfId="0" applyFont="true" applyBorder="true" applyAlignment="true" applyProtection="false">
      <alignment horizontal="general" vertical="center" textRotation="0" wrapText="false" indent="0" shrinkToFit="false"/>
      <protection locked="true" hidden="false"/>
    </xf>
    <xf numFmtId="164" fontId="18" fillId="7" borderId="21" xfId="0" applyFont="true" applyBorder="true" applyAlignment="true" applyProtection="false">
      <alignment horizontal="general" vertical="center" textRotation="0" wrapText="false" indent="0" shrinkToFit="false"/>
      <protection locked="true" hidden="false"/>
    </xf>
    <xf numFmtId="164" fontId="11" fillId="7" borderId="22" xfId="0" applyFont="true" applyBorder="true" applyAlignment="true" applyProtection="false">
      <alignment horizontal="center" vertical="center" textRotation="0" wrapText="false" indent="0" shrinkToFit="false"/>
      <protection locked="true" hidden="false"/>
    </xf>
    <xf numFmtId="164" fontId="11" fillId="7" borderId="22" xfId="0" applyFont="true" applyBorder="true" applyAlignment="true" applyProtection="false">
      <alignment horizontal="general" vertical="center" textRotation="0" wrapText="false" indent="0" shrinkToFit="false"/>
      <protection locked="true" hidden="false"/>
    </xf>
    <xf numFmtId="164" fontId="11" fillId="7" borderId="23" xfId="0" applyFont="true" applyBorder="true" applyAlignment="true" applyProtection="false">
      <alignment horizontal="general" vertical="center" textRotation="0" wrapText="false" indent="0" shrinkToFit="false"/>
      <protection locked="true" hidden="false"/>
    </xf>
    <xf numFmtId="164" fontId="17" fillId="2" borderId="16" xfId="0" applyFont="true" applyBorder="true" applyAlignment="true" applyProtection="false">
      <alignment horizontal="general" vertical="top" textRotation="0" wrapText="true" indent="0" shrinkToFit="false"/>
      <protection locked="true" hidden="false"/>
    </xf>
    <xf numFmtId="164" fontId="0" fillId="2" borderId="16" xfId="0" applyFont="false" applyBorder="true" applyAlignment="true" applyProtection="false">
      <alignment horizontal="center" vertical="bottom" textRotation="0" wrapText="false" indent="0" shrinkToFit="false"/>
      <protection locked="true" hidden="false"/>
    </xf>
    <xf numFmtId="164" fontId="15" fillId="0" borderId="16" xfId="0" applyFont="true" applyBorder="true" applyAlignment="true" applyProtection="false">
      <alignment horizontal="general" vertical="top" textRotation="0" wrapText="true" indent="0" shrinkToFit="false"/>
      <protection locked="true" hidden="false"/>
    </xf>
    <xf numFmtId="164" fontId="0" fillId="0" borderId="16" xfId="0" applyFont="false" applyBorder="true" applyAlignment="true" applyProtection="false">
      <alignment horizontal="general" vertical="bottom" textRotation="0" wrapText="false" indent="0" shrinkToFit="false"/>
      <protection locked="true" hidden="false"/>
    </xf>
    <xf numFmtId="164" fontId="16" fillId="0" borderId="16" xfId="0" applyFont="true" applyBorder="true" applyAlignment="true" applyProtection="false">
      <alignment horizontal="general" vertical="top" textRotation="0" wrapText="true" indent="0" shrinkToFit="false"/>
      <protection locked="true" hidden="false"/>
    </xf>
    <xf numFmtId="164" fontId="0" fillId="0" borderId="16" xfId="0" applyFont="false" applyBorder="tru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5" borderId="16" xfId="0" applyFont="true" applyBorder="true" applyAlignment="true" applyProtection="false">
      <alignment horizontal="right" vertical="center" textRotation="0" wrapText="false" indent="0" shrinkToFit="false"/>
      <protection locked="true" hidden="false"/>
    </xf>
    <xf numFmtId="164" fontId="17" fillId="5" borderId="16" xfId="0" applyFont="true" applyBorder="true" applyAlignment="true" applyProtection="false">
      <alignment horizontal="right" vertical="center" textRotation="0" wrapText="false" indent="0" shrinkToFit="false"/>
      <protection locked="true" hidden="false"/>
    </xf>
    <xf numFmtId="164" fontId="0" fillId="0" borderId="17" xfId="0" applyFont="false" applyBorder="true" applyAlignment="true" applyProtection="false">
      <alignment horizontal="center" vertical="bottom" textRotation="0" wrapText="false" indent="0" shrinkToFit="false"/>
      <protection locked="true" hidden="false"/>
    </xf>
    <xf numFmtId="164" fontId="14" fillId="0" borderId="17" xfId="0" applyFont="true" applyBorder="true" applyAlignment="true" applyProtection="false">
      <alignment horizontal="general" vertical="bottom" textRotation="0" wrapText="false" indent="0" shrinkToFit="false"/>
      <protection locked="true" hidden="false"/>
    </xf>
    <xf numFmtId="164" fontId="8" fillId="7" borderId="16" xfId="0" applyFont="true" applyBorder="true" applyAlignment="true" applyProtection="false">
      <alignment horizontal="right" vertical="center" textRotation="0" wrapText="false" indent="0" shrinkToFit="false"/>
      <protection locked="true" hidden="false"/>
    </xf>
    <xf numFmtId="164" fontId="18" fillId="7" borderId="16" xfId="0" applyFont="true" applyBorder="true" applyAlignment="true" applyProtection="false">
      <alignment horizontal="right" vertical="center" textRotation="0" wrapText="false" indent="0" shrinkToFit="false"/>
      <protection locked="true" hidden="false"/>
    </xf>
    <xf numFmtId="166" fontId="8" fillId="7" borderId="16" xfId="0" applyFont="true" applyBorder="true" applyAlignment="true" applyProtection="false">
      <alignment horizontal="general" vertical="bottom" textRotation="0" wrapText="false" indent="0" shrinkToFit="false"/>
      <protection locked="true" hidden="false"/>
    </xf>
    <xf numFmtId="164" fontId="8" fillId="2" borderId="16" xfId="0" applyFont="true" applyBorder="true" applyAlignment="true" applyProtection="false">
      <alignment horizontal="center" vertical="center" textRotation="0" wrapText="false" indent="0" shrinkToFit="false"/>
      <protection locked="true" hidden="false"/>
    </xf>
    <xf numFmtId="164" fontId="18" fillId="2" borderId="16" xfId="0" applyFont="true" applyBorder="true" applyAlignment="true" applyProtection="false">
      <alignment horizontal="center" vertical="center" textRotation="0" wrapText="false" indent="0" shrinkToFit="false"/>
      <protection locked="true" hidden="false"/>
    </xf>
    <xf numFmtId="164" fontId="14" fillId="0" borderId="16"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28" colorId="64" zoomScale="150" zoomScaleNormal="150" zoomScalePageLayoutView="100" workbookViewId="0">
      <selection pane="topLeft" activeCell="B42" activeCellId="0" sqref="B42"/>
    </sheetView>
  </sheetViews>
  <sheetFormatPr defaultColWidth="8.6796875" defaultRowHeight="15" customHeight="false" zeroHeight="false" outlineLevelRow="0" outlineLevelCol="0"/>
  <cols>
    <col collapsed="false" customWidth="true" hidden="false" outlineLevel="0" max="1" min="1" style="1" width="5.71"/>
    <col collapsed="false" customWidth="true" hidden="false" outlineLevel="0" max="2" min="2" style="1" width="72.14"/>
    <col collapsed="false" customWidth="true" hidden="false" outlineLevel="0" max="3" min="3" style="1" width="6.43"/>
    <col collapsed="false" customWidth="true" hidden="false" outlineLevel="0" max="4" min="4" style="1" width="7.42"/>
    <col collapsed="false" customWidth="true" hidden="false" outlineLevel="0" max="5" min="5" style="1" width="12.42"/>
    <col collapsed="false" customWidth="true" hidden="false" outlineLevel="0" max="6" min="6" style="1" width="14.29"/>
  </cols>
  <sheetData>
    <row r="1" customFormat="false" ht="15" hidden="false" customHeight="true" outlineLevel="0" collapsed="false">
      <c r="A1" s="2" t="s">
        <v>0</v>
      </c>
    </row>
    <row r="2" customFormat="false" ht="15" hidden="false" customHeight="true" outlineLevel="0" collapsed="false">
      <c r="A2" s="3" t="s">
        <v>1</v>
      </c>
      <c r="B2" s="3"/>
      <c r="C2" s="3"/>
      <c r="D2" s="3"/>
      <c r="E2" s="3"/>
      <c r="F2" s="3"/>
    </row>
    <row r="3" customFormat="false" ht="15" hidden="false" customHeight="true" outlineLevel="0" collapsed="false">
      <c r="A3" s="3" t="s">
        <v>2</v>
      </c>
      <c r="B3" s="3"/>
      <c r="C3" s="3"/>
      <c r="D3" s="3"/>
      <c r="E3" s="3"/>
      <c r="F3" s="3"/>
    </row>
    <row r="5" customFormat="false" ht="15" hidden="false" customHeight="true" outlineLevel="0" collapsed="false">
      <c r="B5" s="4" t="s">
        <v>3</v>
      </c>
    </row>
    <row r="6" customFormat="false" ht="15" hidden="false" customHeight="true" outlineLevel="0" collapsed="false">
      <c r="B6" s="4" t="s">
        <v>4</v>
      </c>
    </row>
    <row r="8" customFormat="false" ht="15" hidden="false" customHeight="true" outlineLevel="0" collapsed="false">
      <c r="A8" s="5" t="s">
        <v>5</v>
      </c>
      <c r="B8" s="6" t="s">
        <v>6</v>
      </c>
      <c r="C8" s="7" t="s">
        <v>7</v>
      </c>
      <c r="D8" s="7" t="s">
        <v>8</v>
      </c>
      <c r="E8" s="7" t="s">
        <v>9</v>
      </c>
      <c r="F8" s="8" t="s">
        <v>10</v>
      </c>
    </row>
    <row r="9" customFormat="false" ht="24" hidden="false" customHeight="true" outlineLevel="0" collapsed="false">
      <c r="A9" s="9" t="s">
        <v>11</v>
      </c>
      <c r="B9" s="10" t="s">
        <v>12</v>
      </c>
      <c r="C9" s="9" t="s">
        <v>13</v>
      </c>
      <c r="D9" s="9" t="s">
        <v>14</v>
      </c>
      <c r="E9" s="9" t="s">
        <v>15</v>
      </c>
      <c r="F9" s="9" t="s">
        <v>16</v>
      </c>
    </row>
    <row r="10" customFormat="false" ht="15" hidden="false" customHeight="true" outlineLevel="0" collapsed="false">
      <c r="A10" s="11"/>
      <c r="B10" s="12" t="s">
        <v>17</v>
      </c>
      <c r="C10" s="13"/>
      <c r="D10" s="13"/>
      <c r="E10" s="14"/>
      <c r="F10" s="15"/>
    </row>
    <row r="11" customFormat="false" ht="15" hidden="false" customHeight="true" outlineLevel="0" collapsed="false">
      <c r="A11" s="16" t="s">
        <v>5</v>
      </c>
      <c r="B11" s="17" t="s">
        <v>18</v>
      </c>
      <c r="C11" s="18"/>
      <c r="D11" s="18"/>
      <c r="E11" s="18"/>
      <c r="F11" s="19"/>
    </row>
    <row r="12" customFormat="false" ht="24" hidden="false" customHeight="true" outlineLevel="0" collapsed="false">
      <c r="A12" s="20" t="s">
        <v>19</v>
      </c>
      <c r="B12" s="21" t="s">
        <v>20</v>
      </c>
      <c r="C12" s="22" t="s">
        <v>21</v>
      </c>
      <c r="D12" s="22" t="n">
        <v>3</v>
      </c>
      <c r="E12" s="23"/>
      <c r="F12" s="23" t="str">
        <f aca="false">IF(AND(D12&lt;&gt;"",E12&lt;&gt;""),D12*E12,"")</f>
        <v/>
      </c>
    </row>
    <row r="13" customFormat="false" ht="157.5" hidden="false" customHeight="true" outlineLevel="0" collapsed="false">
      <c r="A13" s="20" t="s">
        <v>22</v>
      </c>
      <c r="B13" s="21" t="s">
        <v>23</v>
      </c>
      <c r="C13" s="22" t="s">
        <v>21</v>
      </c>
      <c r="D13" s="22" t="n">
        <v>3</v>
      </c>
      <c r="E13" s="23"/>
      <c r="F13" s="23" t="str">
        <f aca="false">IF(AND(D13&lt;&gt;"",E13&lt;&gt;""),D13*E13,"")</f>
        <v/>
      </c>
    </row>
    <row r="14" customFormat="false" ht="95.25" hidden="false" customHeight="true" outlineLevel="0" collapsed="false">
      <c r="A14" s="24" t="s">
        <v>24</v>
      </c>
      <c r="B14" s="25" t="s">
        <v>25</v>
      </c>
      <c r="C14" s="26" t="s">
        <v>21</v>
      </c>
      <c r="D14" s="26" t="n">
        <v>1</v>
      </c>
      <c r="E14" s="27"/>
      <c r="F14" s="27" t="str">
        <f aca="false">IF(AND(D14&lt;&gt;"",E14&lt;&gt;""),D14*E14,"")</f>
        <v/>
      </c>
    </row>
    <row r="15" customFormat="false" ht="63.75" hidden="false" customHeight="true" outlineLevel="0" collapsed="false">
      <c r="A15" s="24" t="s">
        <v>26</v>
      </c>
      <c r="B15" s="25" t="s">
        <v>27</v>
      </c>
      <c r="C15" s="26" t="s">
        <v>21</v>
      </c>
      <c r="D15" s="26" t="n">
        <v>3</v>
      </c>
      <c r="E15" s="27"/>
      <c r="F15" s="27" t="str">
        <f aca="false">IF(AND(D15&lt;&gt;"",E15&lt;&gt;""),D15*E15,"")</f>
        <v/>
      </c>
    </row>
    <row r="16" customFormat="false" ht="21.75" hidden="false" customHeight="true" outlineLevel="0" collapsed="false">
      <c r="A16" s="24" t="s">
        <v>28</v>
      </c>
      <c r="B16" s="28" t="s">
        <v>29</v>
      </c>
      <c r="C16" s="26" t="s">
        <v>21</v>
      </c>
      <c r="D16" s="26" t="n">
        <v>1</v>
      </c>
      <c r="E16" s="27"/>
      <c r="F16" s="27" t="str">
        <f aca="false">IF(AND(D16&lt;&gt;"",E16&lt;&gt;""),D16*E16,"")</f>
        <v/>
      </c>
    </row>
    <row r="17" customFormat="false" ht="24" hidden="false" customHeight="true" outlineLevel="0" collapsed="false">
      <c r="A17" s="24"/>
      <c r="B17" s="29"/>
      <c r="F17" s="27"/>
    </row>
    <row r="18" customFormat="false" ht="24" hidden="false" customHeight="true" outlineLevel="0" collapsed="false">
      <c r="A18" s="30" t="s">
        <v>30</v>
      </c>
      <c r="B18" s="31"/>
      <c r="C18" s="31"/>
      <c r="D18" s="31"/>
      <c r="E18" s="32"/>
      <c r="F18" s="33" t="n">
        <f aca="false">SUM(F12:F17)</f>
        <v>0</v>
      </c>
    </row>
    <row r="19" customFormat="false" ht="24" hidden="false" customHeight="true" outlineLevel="0" collapsed="false">
      <c r="A19" s="34" t="s">
        <v>6</v>
      </c>
      <c r="B19" s="35" t="s">
        <v>31</v>
      </c>
      <c r="C19" s="36"/>
      <c r="D19" s="36"/>
      <c r="E19" s="36"/>
      <c r="F19" s="36"/>
    </row>
    <row r="20" customFormat="false" ht="24" hidden="false" customHeight="true" outlineLevel="0" collapsed="false">
      <c r="A20" s="37" t="s">
        <v>32</v>
      </c>
      <c r="B20" s="38" t="s">
        <v>33</v>
      </c>
      <c r="C20" s="39" t="s">
        <v>34</v>
      </c>
      <c r="D20" s="39" t="n">
        <v>10.35</v>
      </c>
      <c r="E20" s="40"/>
      <c r="F20" s="40" t="str">
        <f aca="false">IF(AND(D20&lt;&gt;"",E20&lt;&gt;""),D20*E20,"")</f>
        <v/>
      </c>
    </row>
    <row r="21" customFormat="false" ht="15" hidden="false" customHeight="true" outlineLevel="0" collapsed="false">
      <c r="A21" s="37" t="s">
        <v>35</v>
      </c>
      <c r="B21" s="41" t="s">
        <v>36</v>
      </c>
      <c r="C21" s="39" t="s">
        <v>34</v>
      </c>
      <c r="D21" s="39" t="n">
        <v>0.89</v>
      </c>
      <c r="E21" s="40"/>
      <c r="F21" s="40" t="str">
        <f aca="false">IF(AND(D21&lt;&gt;"",E21&lt;&gt;""),D21*E21,"")</f>
        <v/>
      </c>
    </row>
    <row r="22" customFormat="false" ht="15" hidden="false" customHeight="true" outlineLevel="0" collapsed="false">
      <c r="A22" s="37" t="s">
        <v>37</v>
      </c>
      <c r="B22" s="38" t="s">
        <v>38</v>
      </c>
      <c r="C22" s="39" t="s">
        <v>34</v>
      </c>
      <c r="D22" s="39" t="n">
        <v>9.45</v>
      </c>
      <c r="E22" s="40"/>
      <c r="F22" s="40" t="str">
        <f aca="false">IF(AND(D22&lt;&gt;"",E22&lt;&gt;""),D22*E22,"")</f>
        <v/>
      </c>
    </row>
    <row r="23" customFormat="false" ht="21.75" hidden="false" customHeight="true" outlineLevel="0" collapsed="false">
      <c r="A23" s="37" t="s">
        <v>39</v>
      </c>
      <c r="B23" s="38" t="s">
        <v>40</v>
      </c>
      <c r="C23" s="39" t="s">
        <v>34</v>
      </c>
      <c r="D23" s="39" t="n">
        <v>0.54</v>
      </c>
      <c r="E23" s="40"/>
      <c r="F23" s="40" t="str">
        <f aca="false">IF(AND(D23&lt;&gt;"",E23&lt;&gt;""),D23*E23,"")</f>
        <v/>
      </c>
    </row>
    <row r="24" customFormat="false" ht="105.75" hidden="false" customHeight="true" outlineLevel="0" collapsed="false">
      <c r="A24" s="37" t="s">
        <v>41</v>
      </c>
      <c r="B24" s="38" t="s">
        <v>42</v>
      </c>
      <c r="C24" s="39" t="s">
        <v>34</v>
      </c>
      <c r="D24" s="39" t="n">
        <v>8.91</v>
      </c>
      <c r="E24" s="40"/>
      <c r="F24" s="40" t="str">
        <f aca="false">IF(AND(D24&lt;&gt;"",E24&lt;&gt;""),D24*E24,"")</f>
        <v/>
      </c>
    </row>
    <row r="25" customFormat="false" ht="23.25" hidden="false" customHeight="true" outlineLevel="0" collapsed="false">
      <c r="A25" s="37" t="s">
        <v>43</v>
      </c>
      <c r="B25" s="42" t="s">
        <v>44</v>
      </c>
      <c r="C25" s="43" t="s">
        <v>45</v>
      </c>
      <c r="D25" s="43" t="n">
        <v>12</v>
      </c>
      <c r="F25" s="40" t="str">
        <f aca="false">IF(AND(D25&lt;&gt;"",E25&lt;&gt;""),D25*E25,"")</f>
        <v/>
      </c>
    </row>
    <row r="26" customFormat="false" ht="15" hidden="false" customHeight="true" outlineLevel="0" collapsed="false">
      <c r="A26" s="37" t="s">
        <v>46</v>
      </c>
      <c r="B26" s="41" t="s">
        <v>47</v>
      </c>
      <c r="C26" s="39" t="s">
        <v>48</v>
      </c>
      <c r="D26" s="39" t="n">
        <v>1</v>
      </c>
      <c r="E26" s="40"/>
      <c r="F26" s="40" t="str">
        <f aca="false">IF(AND(D26&lt;&gt;"",E26&lt;&gt;""),D26*E26,"")</f>
        <v/>
      </c>
    </row>
    <row r="27" customFormat="false" ht="15" hidden="false" customHeight="true" outlineLevel="0" collapsed="false">
      <c r="A27" s="44"/>
      <c r="B27" s="44" t="s">
        <v>49</v>
      </c>
      <c r="C27" s="45"/>
      <c r="D27" s="45"/>
      <c r="E27" s="46"/>
      <c r="F27" s="47" t="n">
        <f aca="false">SUM(F20:F26)</f>
        <v>0</v>
      </c>
    </row>
    <row r="28" customFormat="false" ht="24" hidden="false" customHeight="true" outlineLevel="0" collapsed="false"/>
    <row r="29" customFormat="false" ht="15" hidden="false" customHeight="true" outlineLevel="0" collapsed="false">
      <c r="A29" s="48"/>
      <c r="B29" s="48" t="s">
        <v>50</v>
      </c>
      <c r="C29" s="45"/>
      <c r="D29" s="46"/>
      <c r="E29" s="46"/>
      <c r="F29" s="49" t="n">
        <f aca="false">F18+F27</f>
        <v>0</v>
      </c>
    </row>
    <row r="30" customFormat="false" ht="24" hidden="false" customHeight="true" outlineLevel="0" collapsed="false"/>
    <row r="31" customFormat="false" ht="36" hidden="false" customHeight="true" outlineLevel="0" collapsed="false">
      <c r="A31" s="50"/>
      <c r="B31" s="50" t="s">
        <v>51</v>
      </c>
      <c r="C31" s="31"/>
      <c r="D31" s="31"/>
      <c r="E31" s="51"/>
      <c r="F31" s="52"/>
    </row>
    <row r="32" customFormat="false" ht="36" hidden="false" customHeight="true" outlineLevel="0" collapsed="false">
      <c r="A32" s="53"/>
      <c r="B32" s="53" t="s">
        <v>52</v>
      </c>
      <c r="C32" s="31"/>
      <c r="D32" s="31"/>
      <c r="E32" s="51"/>
      <c r="F32" s="54" t="n">
        <f aca="false">F29</f>
        <v>0</v>
      </c>
    </row>
    <row r="33" customFormat="false" ht="24" hidden="false" customHeight="true" outlineLevel="0" collapsed="false">
      <c r="A33" s="53"/>
      <c r="B33" s="53" t="s">
        <v>53</v>
      </c>
      <c r="C33" s="31"/>
      <c r="D33" s="31"/>
      <c r="E33" s="51"/>
      <c r="F33" s="54"/>
    </row>
    <row r="34" customFormat="false" ht="24" hidden="false" customHeight="true" outlineLevel="0" collapsed="false">
      <c r="A34" s="53"/>
      <c r="B34" s="53" t="s">
        <v>54</v>
      </c>
      <c r="C34" s="31"/>
      <c r="D34" s="31"/>
      <c r="E34" s="51"/>
      <c r="F34" s="54" t="n">
        <f aca="false">F32*(1-IF(F33="",0,F33/100))</f>
        <v>0</v>
      </c>
    </row>
    <row r="35" customFormat="false" ht="15" hidden="false" customHeight="true" outlineLevel="0" collapsed="false">
      <c r="A35" s="53"/>
      <c r="B35" s="53" t="s">
        <v>55</v>
      </c>
      <c r="C35" s="31"/>
      <c r="D35" s="31"/>
      <c r="E35" s="51"/>
      <c r="F35" s="54" t="n">
        <f aca="false">F34*0.17</f>
        <v>0</v>
      </c>
    </row>
    <row r="36" customFormat="false" ht="15" hidden="false" customHeight="true" outlineLevel="0" collapsed="false">
      <c r="A36" s="50"/>
      <c r="B36" s="50" t="s">
        <v>56</v>
      </c>
      <c r="C36" s="31"/>
      <c r="D36" s="31"/>
      <c r="E36" s="51"/>
      <c r="F36" s="52" t="n">
        <f aca="false">F34+F35</f>
        <v>0</v>
      </c>
    </row>
    <row r="38" customFormat="false" ht="24" hidden="false" customHeight="true" outlineLevel="0" collapsed="false"/>
    <row r="39" customFormat="false" ht="24" hidden="false" customHeight="true" outlineLevel="0" collapsed="false"/>
    <row r="41" customFormat="false" ht="24" hidden="false" customHeight="true" outlineLevel="0" collapsed="false"/>
    <row r="42" customFormat="false" ht="156" hidden="false" customHeight="true" outlineLevel="0" collapsed="false"/>
    <row r="43" customFormat="false" ht="24" hidden="false" customHeight="true" outlineLevel="0" collapsed="false"/>
    <row r="47" customFormat="false" ht="15" hidden="false" customHeight="true" outlineLevel="0" collapsed="false">
      <c r="A47" s="55"/>
      <c r="B47" s="55"/>
      <c r="C47" s="55"/>
      <c r="D47" s="55"/>
      <c r="E47" s="55"/>
    </row>
    <row r="49" customFormat="false" ht="15" hidden="false" customHeight="true" outlineLevel="0" collapsed="false">
      <c r="A49" s="55"/>
      <c r="B49" s="55"/>
      <c r="C49" s="55"/>
      <c r="D49" s="55"/>
    </row>
    <row r="51" customFormat="false" ht="15" hidden="false" customHeight="true" outlineLevel="0" collapsed="false">
      <c r="A51" s="55"/>
      <c r="B51" s="55"/>
      <c r="C51" s="55"/>
      <c r="D51" s="55"/>
      <c r="E51" s="55"/>
    </row>
    <row r="52" customFormat="false" ht="15" hidden="false" customHeight="true" outlineLevel="0" collapsed="false">
      <c r="A52" s="55"/>
      <c r="B52" s="55"/>
      <c r="C52" s="55"/>
      <c r="D52" s="55"/>
      <c r="E52" s="55"/>
    </row>
    <row r="53" customFormat="false" ht="15" hidden="false" customHeight="true" outlineLevel="0" collapsed="false">
      <c r="A53" s="55"/>
      <c r="B53" s="55"/>
      <c r="C53" s="55"/>
      <c r="D53" s="55"/>
      <c r="E53" s="55"/>
    </row>
    <row r="54" customFormat="false" ht="15" hidden="false" customHeight="true" outlineLevel="0" collapsed="false">
      <c r="A54" s="55"/>
      <c r="B54" s="55"/>
      <c r="C54" s="55"/>
      <c r="D54" s="55"/>
      <c r="E54" s="55"/>
    </row>
    <row r="55" customFormat="false" ht="24" hidden="false" customHeight="true" outlineLevel="0" collapsed="false">
      <c r="A55" s="55"/>
      <c r="B55" s="55"/>
      <c r="C55" s="55"/>
      <c r="D55" s="55"/>
      <c r="E55" s="55"/>
    </row>
    <row r="57" customFormat="false" ht="24" hidden="false" customHeight="true" outlineLevel="0" collapsed="false"/>
    <row r="81" customFormat="false" ht="24" hidden="false" customHeight="true" outlineLevel="0" collapsed="false"/>
    <row r="82" customFormat="false" ht="24" hidden="false" customHeight="true" outlineLevel="0" collapsed="false"/>
    <row r="84" customFormat="false" ht="24" hidden="false" customHeight="true" outlineLevel="0" collapsed="false"/>
    <row r="88" customFormat="false" ht="24" hidden="false" customHeight="true" outlineLevel="0" collapsed="false"/>
    <row r="89" customFormat="false" ht="36" hidden="false" customHeight="true" outlineLevel="0" collapsed="false"/>
    <row r="99" customFormat="false" ht="24" hidden="false" customHeight="true" outlineLevel="0" collapsed="false"/>
    <row r="100" customFormat="false" ht="24" hidden="false" customHeight="true" outlineLevel="0" collapsed="false"/>
    <row r="101" customFormat="false" ht="24" hidden="false" customHeight="true" outlineLevel="0" collapsed="false"/>
    <row r="105" customFormat="false" ht="24" hidden="false" customHeight="true" outlineLevel="0" collapsed="false"/>
    <row r="106" customFormat="false" ht="24" hidden="false" customHeight="true" outlineLevel="0" collapsed="false"/>
    <row r="108" customFormat="false" ht="24" hidden="false" customHeight="true" outlineLevel="0" collapsed="false"/>
    <row r="110" customFormat="false" ht="24" hidden="false" customHeight="true" outlineLevel="0" collapsed="false"/>
    <row r="112" customFormat="false" ht="24" hidden="false" customHeight="true" outlineLevel="0" collapsed="false"/>
    <row r="115" customFormat="false" ht="36" hidden="false" customHeight="true" outlineLevel="0" collapsed="false"/>
    <row r="116" customFormat="false" ht="24" hidden="false" customHeight="true" outlineLevel="0" collapsed="false"/>
    <row r="117" customFormat="false" ht="84" hidden="false" customHeight="true" outlineLevel="0" collapsed="false"/>
    <row r="118" customFormat="false" ht="24" hidden="false" customHeight="true" outlineLevel="0" collapsed="false"/>
    <row r="119" customFormat="false" ht="24" hidden="false" customHeight="true" outlineLevel="0" collapsed="false"/>
    <row r="120" customFormat="false" ht="24" hidden="false" customHeight="true" outlineLevel="0" collapsed="false"/>
    <row r="121" customFormat="false" ht="24" hidden="false" customHeight="true" outlineLevel="0" collapsed="false"/>
    <row r="122" customFormat="false" ht="48" hidden="false" customHeight="true" outlineLevel="0" collapsed="false"/>
    <row r="124" customFormat="false" ht="36" hidden="false" customHeight="true" outlineLevel="0" collapsed="false"/>
    <row r="126" customFormat="false" ht="24" hidden="false" customHeight="true" outlineLevel="0" collapsed="false"/>
    <row r="127" customFormat="false" ht="24" hidden="false" customHeight="true" outlineLevel="0" collapsed="false"/>
    <row r="128" customFormat="false" ht="48" hidden="false" customHeight="true" outlineLevel="0" collapsed="false"/>
    <row r="129" customFormat="false" ht="24" hidden="false" customHeight="true" outlineLevel="0" collapsed="false"/>
    <row r="131" customFormat="false" ht="36" hidden="false" customHeight="true" outlineLevel="0" collapsed="false"/>
    <row r="135" customFormat="false" ht="24" hidden="false" customHeight="true" outlineLevel="0" collapsed="false"/>
    <row r="136" customFormat="false" ht="24" hidden="false" customHeight="true" outlineLevel="0" collapsed="false"/>
    <row r="137" customFormat="false" ht="36" hidden="false" customHeight="true" outlineLevel="0" collapsed="false"/>
    <row r="138" customFormat="false" ht="24" hidden="false" customHeight="true" outlineLevel="0" collapsed="false"/>
    <row r="143" customFormat="false" ht="36" hidden="false" customHeight="true" outlineLevel="0" collapsed="false"/>
    <row r="144" customFormat="false" ht="36" hidden="false" customHeight="true" outlineLevel="0" collapsed="false"/>
    <row r="145" customFormat="false" ht="36" hidden="false" customHeight="true" outlineLevel="0" collapsed="false"/>
    <row r="147" customFormat="false" ht="24" hidden="false" customHeight="true" outlineLevel="0" collapsed="false"/>
    <row r="148" customFormat="false" ht="24" hidden="false" customHeight="true" outlineLevel="0" collapsed="false"/>
    <row r="150" customFormat="false" ht="24" hidden="false" customHeight="true" outlineLevel="0" collapsed="false"/>
    <row r="156" customFormat="false" ht="48" hidden="false" customHeight="true" outlineLevel="0" collapsed="false"/>
    <row r="157" customFormat="false" ht="24" hidden="false" customHeight="true" outlineLevel="0" collapsed="false"/>
    <row r="158" customFormat="false" ht="48" hidden="false" customHeight="true" outlineLevel="0" collapsed="false"/>
    <row r="163" customFormat="false" ht="36" hidden="false" customHeight="true" outlineLevel="0" collapsed="false"/>
    <row r="164" customFormat="false" ht="24" hidden="false" customHeight="true" outlineLevel="0" collapsed="false"/>
    <row r="165" customFormat="false" ht="36" hidden="false" customHeight="true" outlineLevel="0" collapsed="false"/>
    <row r="167" customFormat="false" ht="24" hidden="false" customHeight="true" outlineLevel="0" collapsed="false"/>
    <row r="1048575" customFormat="false" ht="12.75" hidden="false" customHeight="true" outlineLevel="0" collapsed="false"/>
    <row r="1048576" customFormat="false" ht="12.75" hidden="false" customHeight="true" outlineLevel="0" collapsed="false"/>
  </sheetData>
  <mergeCells count="9">
    <mergeCell ref="A2:F2"/>
    <mergeCell ref="A3:F3"/>
    <mergeCell ref="A47:E47"/>
    <mergeCell ref="A49:D49"/>
    <mergeCell ref="A51:E51"/>
    <mergeCell ref="A52:E52"/>
    <mergeCell ref="A53:E53"/>
    <mergeCell ref="A54:E54"/>
    <mergeCell ref="A55:E55"/>
  </mergeCells>
  <printOptions headings="false" gridLines="false" gridLinesSet="true" horizontalCentered="true" verticalCentered="false"/>
  <pageMargins left="0.75" right="0.75" top="1" bottom="1" header="0.5" footer="0.511811023622047"/>
  <pageSetup paperSize="1" scale="100" fitToWidth="1" fitToHeight="1" pageOrder="downThenOver" orientation="landscape" blackAndWhite="false" draft="false" cellComments="none" horizontalDpi="300" verticalDpi="300" copies="1"/>
  <headerFooter differentFirst="false" differentOddEven="false">
    <oddHeader>&amp;R&amp;"Times New Roman,Regular"&amp;12 &amp;"Arial,Regular"&amp;10 [BH Telecom | &amp;"Arial,Bold"Interno&amp;"Arial,Regular"]</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7" colorId="64" zoomScale="150" zoomScaleNormal="150" zoomScalePageLayoutView="100" workbookViewId="0">
      <selection pane="topLeft" activeCell="E12" activeCellId="0" sqref="E12"/>
    </sheetView>
  </sheetViews>
  <sheetFormatPr defaultColWidth="11.53515625" defaultRowHeight="15" customHeight="false" zeroHeight="false" outlineLevelRow="0" outlineLevelCol="0"/>
  <cols>
    <col collapsed="false" customWidth="true" hidden="false" outlineLevel="0" max="1" min="1" style="1" width="4.73"/>
    <col collapsed="false" customWidth="true" hidden="false" outlineLevel="0" max="2" min="2" style="56" width="80.6"/>
    <col collapsed="false" customWidth="true" hidden="false" outlineLevel="0" max="3" min="3" style="57" width="6.3"/>
    <col collapsed="false" customWidth="true" hidden="false" outlineLevel="0" max="4" min="4" style="57" width="4.17"/>
    <col collapsed="false" customWidth="true" hidden="false" outlineLevel="0" max="5" min="5" style="1" width="45.81"/>
    <col collapsed="false" customWidth="true" hidden="false" outlineLevel="0" max="6" min="6" style="1" width="5"/>
  </cols>
  <sheetData>
    <row r="1" customFormat="false" ht="15" hidden="false" customHeight="false" outlineLevel="0" collapsed="false">
      <c r="A1" s="2" t="s">
        <v>0</v>
      </c>
    </row>
    <row r="2" customFormat="false" ht="15" hidden="false" customHeight="false" outlineLevel="0" collapsed="false">
      <c r="A2" s="3" t="s">
        <v>57</v>
      </c>
      <c r="B2" s="3"/>
      <c r="C2" s="3"/>
      <c r="D2" s="3"/>
      <c r="E2" s="3"/>
      <c r="F2" s="3"/>
    </row>
    <row r="3" customFormat="false" ht="15" hidden="false" customHeight="false" outlineLevel="0" collapsed="false">
      <c r="A3" s="3" t="s">
        <v>58</v>
      </c>
      <c r="B3" s="3"/>
      <c r="C3" s="3"/>
      <c r="D3" s="3"/>
      <c r="E3" s="3"/>
      <c r="F3" s="3"/>
    </row>
    <row r="5" customFormat="false" ht="15" hidden="false" customHeight="false" outlineLevel="0" collapsed="false">
      <c r="B5" s="58" t="s">
        <v>3</v>
      </c>
    </row>
    <row r="6" customFormat="false" ht="15" hidden="false" customHeight="false" outlineLevel="0" collapsed="false">
      <c r="B6" s="58" t="s">
        <v>59</v>
      </c>
    </row>
    <row r="8" customFormat="false" ht="15" hidden="false" customHeight="false" outlineLevel="0" collapsed="false">
      <c r="A8" s="5" t="s">
        <v>5</v>
      </c>
      <c r="B8" s="59" t="s">
        <v>6</v>
      </c>
      <c r="C8" s="7" t="s">
        <v>7</v>
      </c>
      <c r="D8" s="7" t="s">
        <v>8</v>
      </c>
      <c r="E8" s="7" t="s">
        <v>9</v>
      </c>
      <c r="F8" s="8" t="s">
        <v>10</v>
      </c>
    </row>
    <row r="9" customFormat="false" ht="21.85" hidden="false" customHeight="false" outlineLevel="0" collapsed="false">
      <c r="A9" s="60" t="s">
        <v>11</v>
      </c>
      <c r="B9" s="61" t="s">
        <v>12</v>
      </c>
      <c r="C9" s="62" t="s">
        <v>13</v>
      </c>
      <c r="D9" s="62" t="s">
        <v>14</v>
      </c>
      <c r="E9" s="62" t="s">
        <v>15</v>
      </c>
      <c r="F9" s="63" t="s">
        <v>16</v>
      </c>
    </row>
    <row r="10" customFormat="false" ht="15" hidden="false" customHeight="false" outlineLevel="0" collapsed="false">
      <c r="A10" s="64"/>
      <c r="B10" s="65" t="s">
        <v>60</v>
      </c>
      <c r="C10" s="66"/>
      <c r="D10" s="66"/>
      <c r="E10" s="67"/>
      <c r="F10" s="68"/>
    </row>
    <row r="11" customFormat="false" ht="15" hidden="false" customHeight="false" outlineLevel="0" collapsed="false">
      <c r="A11" s="34" t="n">
        <v>1</v>
      </c>
      <c r="B11" s="69" t="s">
        <v>61</v>
      </c>
      <c r="C11" s="70"/>
      <c r="D11" s="70"/>
      <c r="E11" s="36"/>
      <c r="F11" s="36"/>
    </row>
    <row r="12" customFormat="false" ht="300.45" hidden="false" customHeight="false" outlineLevel="0" collapsed="false">
      <c r="A12" s="37" t="s">
        <v>62</v>
      </c>
      <c r="B12" s="71" t="s">
        <v>63</v>
      </c>
      <c r="C12" s="37"/>
      <c r="D12" s="37"/>
      <c r="E12" s="40"/>
      <c r="F12" s="40"/>
    </row>
    <row r="14" customFormat="false" ht="15" hidden="false" customHeight="false" outlineLevel="0" collapsed="false">
      <c r="A14" s="34" t="s">
        <v>8</v>
      </c>
      <c r="B14" s="69" t="s">
        <v>64</v>
      </c>
      <c r="C14" s="70"/>
      <c r="D14" s="70"/>
      <c r="E14" s="36"/>
      <c r="F14" s="36"/>
    </row>
    <row r="15" customFormat="false" ht="71.6" hidden="false" customHeight="false" outlineLevel="0" collapsed="false">
      <c r="A15" s="72"/>
      <c r="B15" s="73" t="s">
        <v>65</v>
      </c>
      <c r="C15" s="74"/>
      <c r="D15" s="74"/>
      <c r="E15" s="72"/>
      <c r="F15" s="72"/>
    </row>
    <row r="16" customFormat="false" ht="111.4" hidden="false" customHeight="false" outlineLevel="0" collapsed="false">
      <c r="A16" s="37" t="s">
        <v>66</v>
      </c>
      <c r="B16" s="71" t="s">
        <v>67</v>
      </c>
      <c r="C16" s="37" t="s">
        <v>21</v>
      </c>
      <c r="D16" s="37" t="n">
        <v>1</v>
      </c>
      <c r="E16" s="40"/>
      <c r="F16" s="40" t="str">
        <f aca="false">IF(AND(D16&lt;&gt;"",E16&lt;&gt;""),D16*E16,"")</f>
        <v/>
      </c>
    </row>
    <row r="17" customFormat="false" ht="171.1" hidden="false" customHeight="false" outlineLevel="0" collapsed="false">
      <c r="A17" s="37" t="s">
        <v>68</v>
      </c>
      <c r="B17" s="71" t="s">
        <v>69</v>
      </c>
      <c r="C17" s="37" t="s">
        <v>21</v>
      </c>
      <c r="D17" s="37" t="n">
        <v>1</v>
      </c>
      <c r="E17" s="40"/>
      <c r="F17" s="40" t="str">
        <f aca="false">IF(AND(D17&lt;&gt;"",E17&lt;&gt;""),D17*E17,"")</f>
        <v/>
      </c>
    </row>
    <row r="18" customFormat="false" ht="41.75" hidden="false" customHeight="false" outlineLevel="0" collapsed="false">
      <c r="A18" s="37" t="s">
        <v>70</v>
      </c>
      <c r="B18" s="71" t="s">
        <v>71</v>
      </c>
      <c r="C18" s="37" t="s">
        <v>21</v>
      </c>
      <c r="D18" s="37" t="n">
        <v>1</v>
      </c>
      <c r="E18" s="40"/>
      <c r="F18" s="40" t="str">
        <f aca="false">IF(AND(D18&lt;&gt;"",E18&lt;&gt;""),D18*E18,"")</f>
        <v/>
      </c>
    </row>
    <row r="19" customFormat="false" ht="21.75" hidden="false" customHeight="false" outlineLevel="0" collapsed="false">
      <c r="A19" s="37" t="s">
        <v>72</v>
      </c>
      <c r="B19" s="71" t="s">
        <v>73</v>
      </c>
      <c r="C19" s="37" t="s">
        <v>21</v>
      </c>
      <c r="D19" s="37" t="n">
        <v>1</v>
      </c>
      <c r="E19" s="40"/>
      <c r="F19" s="40" t="str">
        <f aca="false">IF(AND(D19&lt;&gt;"",E19&lt;&gt;""),D19*E19,"")</f>
        <v/>
      </c>
    </row>
    <row r="20" customFormat="false" ht="51.7" hidden="false" customHeight="false" outlineLevel="0" collapsed="false">
      <c r="A20" s="37" t="s">
        <v>74</v>
      </c>
      <c r="B20" s="71" t="s">
        <v>75</v>
      </c>
      <c r="C20" s="37" t="s">
        <v>21</v>
      </c>
      <c r="D20" s="37" t="n">
        <v>1</v>
      </c>
      <c r="E20" s="40"/>
      <c r="F20" s="40" t="str">
        <f aca="false">IF(AND(D20&lt;&gt;"",E20&lt;&gt;""),D20*E20,"")</f>
        <v/>
      </c>
    </row>
    <row r="21" customFormat="false" ht="41.75" hidden="false" customHeight="false" outlineLevel="0" collapsed="false">
      <c r="A21" s="37" t="s">
        <v>76</v>
      </c>
      <c r="B21" s="71" t="s">
        <v>77</v>
      </c>
      <c r="C21" s="37" t="s">
        <v>21</v>
      </c>
      <c r="D21" s="37" t="n">
        <v>1</v>
      </c>
      <c r="E21" s="40"/>
      <c r="F21" s="40" t="str">
        <f aca="false">IF(AND(D21&lt;&gt;"",E21&lt;&gt;""),D21*E21,"")</f>
        <v/>
      </c>
    </row>
    <row r="22" customFormat="false" ht="61.65" hidden="false" customHeight="false" outlineLevel="0" collapsed="false">
      <c r="A22" s="37" t="s">
        <v>78</v>
      </c>
      <c r="B22" s="71" t="s">
        <v>79</v>
      </c>
      <c r="C22" s="37" t="s">
        <v>21</v>
      </c>
      <c r="D22" s="37" t="n">
        <v>1</v>
      </c>
      <c r="E22" s="40"/>
      <c r="F22" s="40" t="str">
        <f aca="false">IF(AND(D22&lt;&gt;"",E22&lt;&gt;""),D22*E22,"")</f>
        <v/>
      </c>
    </row>
    <row r="23" customFormat="false" ht="41.75" hidden="false" customHeight="false" outlineLevel="0" collapsed="false">
      <c r="A23" s="37" t="s">
        <v>80</v>
      </c>
      <c r="B23" s="71" t="s">
        <v>81</v>
      </c>
      <c r="C23" s="37" t="s">
        <v>21</v>
      </c>
      <c r="D23" s="37" t="n">
        <v>1</v>
      </c>
      <c r="E23" s="40"/>
      <c r="F23" s="40" t="str">
        <f aca="false">IF(AND(D23&lt;&gt;"",E23&lt;&gt;""),D23*E23,"")</f>
        <v/>
      </c>
    </row>
    <row r="24" customFormat="false" ht="15" hidden="false" customHeight="false" outlineLevel="0" collapsed="false">
      <c r="A24" s="37" t="s">
        <v>82</v>
      </c>
      <c r="B24" s="71" t="s">
        <v>83</v>
      </c>
      <c r="C24" s="37" t="s">
        <v>21</v>
      </c>
      <c r="D24" s="37" t="n">
        <v>1</v>
      </c>
      <c r="E24" s="40"/>
      <c r="F24" s="40" t="str">
        <f aca="false">IF(AND(D24&lt;&gt;"",E24&lt;&gt;""),D24*E24,"")</f>
        <v/>
      </c>
    </row>
    <row r="25" customFormat="false" ht="81.55" hidden="false" customHeight="false" outlineLevel="0" collapsed="false">
      <c r="A25" s="37" t="s">
        <v>84</v>
      </c>
      <c r="B25" s="71" t="s">
        <v>85</v>
      </c>
      <c r="C25" s="37" t="s">
        <v>21</v>
      </c>
      <c r="D25" s="37" t="n">
        <v>1</v>
      </c>
      <c r="E25" s="40"/>
      <c r="F25" s="40" t="str">
        <f aca="false">IF(AND(D25&lt;&gt;"",E25&lt;&gt;""),D25*E25,"")</f>
        <v/>
      </c>
    </row>
    <row r="26" customFormat="false" ht="15" hidden="false" customHeight="false" outlineLevel="0" collapsed="false">
      <c r="A26" s="37" t="s">
        <v>86</v>
      </c>
      <c r="B26" s="71" t="s">
        <v>87</v>
      </c>
      <c r="C26" s="37" t="s">
        <v>21</v>
      </c>
      <c r="D26" s="37" t="n">
        <v>1</v>
      </c>
      <c r="E26" s="40"/>
      <c r="F26" s="40" t="str">
        <f aca="false">IF(AND(D26&lt;&gt;"",E26&lt;&gt;""),D26*E26,"")</f>
        <v/>
      </c>
    </row>
    <row r="27" customFormat="false" ht="21.85" hidden="false" customHeight="false" outlineLevel="0" collapsed="false">
      <c r="A27" s="37" t="s">
        <v>88</v>
      </c>
      <c r="B27" s="71" t="s">
        <v>89</v>
      </c>
      <c r="C27" s="37" t="s">
        <v>21</v>
      </c>
      <c r="D27" s="37" t="n">
        <v>1</v>
      </c>
      <c r="E27" s="40"/>
      <c r="F27" s="40" t="str">
        <f aca="false">IF(AND(D27&lt;&gt;"",E27&lt;&gt;""),D27*E27,"")</f>
        <v/>
      </c>
    </row>
    <row r="28" customFormat="false" ht="21.85" hidden="false" customHeight="false" outlineLevel="0" collapsed="false">
      <c r="A28" s="37" t="s">
        <v>90</v>
      </c>
      <c r="B28" s="71" t="s">
        <v>91</v>
      </c>
      <c r="C28" s="37" t="s">
        <v>21</v>
      </c>
      <c r="D28" s="37" t="n">
        <v>1</v>
      </c>
      <c r="E28" s="40"/>
      <c r="F28" s="40" t="str">
        <f aca="false">IF(AND(D28&lt;&gt;"",E28&lt;&gt;""),D28*E28,"")</f>
        <v/>
      </c>
    </row>
    <row r="29" customFormat="false" ht="31.8" hidden="false" customHeight="false" outlineLevel="0" collapsed="false">
      <c r="A29" s="37" t="s">
        <v>92</v>
      </c>
      <c r="B29" s="71" t="s">
        <v>93</v>
      </c>
      <c r="C29" s="37" t="s">
        <v>21</v>
      </c>
      <c r="D29" s="37" t="n">
        <v>1</v>
      </c>
      <c r="E29" s="40"/>
      <c r="F29" s="40" t="str">
        <f aca="false">IF(AND(D29&lt;&gt;"",E29&lt;&gt;""),D29*E29,"")</f>
        <v/>
      </c>
    </row>
    <row r="30" customFormat="false" ht="21.75" hidden="false" customHeight="false" outlineLevel="0" collapsed="false">
      <c r="A30" s="37" t="s">
        <v>94</v>
      </c>
      <c r="B30" s="71" t="s">
        <v>95</v>
      </c>
      <c r="C30" s="37" t="s">
        <v>96</v>
      </c>
      <c r="D30" s="37" t="n">
        <v>250</v>
      </c>
      <c r="E30" s="40"/>
      <c r="F30" s="40" t="str">
        <f aca="false">IF(AND(D30&lt;&gt;"",E30&lt;&gt;""),D30*E30,"")</f>
        <v/>
      </c>
    </row>
    <row r="31" customFormat="false" ht="15" hidden="false" customHeight="false" outlineLevel="0" collapsed="false">
      <c r="A31" s="37" t="s">
        <v>97</v>
      </c>
      <c r="B31" s="71" t="s">
        <v>98</v>
      </c>
      <c r="C31" s="37" t="s">
        <v>48</v>
      </c>
      <c r="D31" s="37" t="n">
        <v>1</v>
      </c>
      <c r="E31" s="40"/>
      <c r="F31" s="40" t="str">
        <f aca="false">IF(AND(D31&lt;&gt;"",E31&lt;&gt;""),D31*E31,"")</f>
        <v/>
      </c>
    </row>
    <row r="32" customFormat="false" ht="31.8" hidden="false" customHeight="false" outlineLevel="0" collapsed="false">
      <c r="A32" s="37" t="s">
        <v>99</v>
      </c>
      <c r="B32" s="71" t="s">
        <v>100</v>
      </c>
      <c r="C32" s="37" t="s">
        <v>21</v>
      </c>
      <c r="D32" s="37" t="n">
        <v>1</v>
      </c>
      <c r="E32" s="40"/>
      <c r="F32" s="40" t="str">
        <f aca="false">IF(AND(D32&lt;&gt;"",E32&lt;&gt;""),D32*E32,"")</f>
        <v/>
      </c>
    </row>
    <row r="33" customFormat="false" ht="15" hidden="false" customHeight="false" outlineLevel="0" collapsed="false">
      <c r="A33" s="37" t="s">
        <v>101</v>
      </c>
      <c r="B33" s="75" t="s">
        <v>102</v>
      </c>
      <c r="C33" s="57" t="s">
        <v>21</v>
      </c>
      <c r="D33" s="57" t="n">
        <v>1</v>
      </c>
      <c r="F33" s="40" t="str">
        <f aca="false">IF(AND(D33&lt;&gt;"",E33&lt;&gt;""),D33*E33,"")</f>
        <v/>
      </c>
    </row>
    <row r="34" customFormat="false" ht="31.8" hidden="false" customHeight="false" outlineLevel="0" collapsed="false">
      <c r="A34" s="37" t="s">
        <v>103</v>
      </c>
      <c r="B34" s="71" t="s">
        <v>104</v>
      </c>
      <c r="C34" s="37" t="s">
        <v>21</v>
      </c>
      <c r="D34" s="37" t="n">
        <v>1</v>
      </c>
      <c r="E34" s="40"/>
      <c r="F34" s="40" t="str">
        <f aca="false">IF(AND(D34&lt;&gt;"",E34&lt;&gt;""),D34*E34,"")</f>
        <v/>
      </c>
    </row>
    <row r="35" customFormat="false" ht="41.75" hidden="false" customHeight="false" outlineLevel="0" collapsed="false">
      <c r="A35" s="37" t="s">
        <v>105</v>
      </c>
      <c r="B35" s="71" t="s">
        <v>106</v>
      </c>
      <c r="C35" s="37" t="s">
        <v>21</v>
      </c>
      <c r="D35" s="37" t="n">
        <v>1</v>
      </c>
      <c r="E35" s="40"/>
      <c r="F35" s="40" t="str">
        <f aca="false">IF(AND(D35&lt;&gt;"",E35&lt;&gt;""),D35*E35,"")</f>
        <v/>
      </c>
    </row>
    <row r="36" customFormat="false" ht="15" hidden="false" customHeight="false" outlineLevel="0" collapsed="false">
      <c r="A36" s="76"/>
      <c r="B36" s="77" t="s">
        <v>107</v>
      </c>
      <c r="C36" s="78"/>
      <c r="D36" s="78"/>
      <c r="E36" s="46"/>
      <c r="F36" s="47" t="n">
        <f aca="false">SUM(F16:F35)</f>
        <v>0</v>
      </c>
    </row>
    <row r="38" customFormat="false" ht="15" hidden="false" customHeight="false" outlineLevel="0" collapsed="false">
      <c r="A38" s="34" t="s">
        <v>9</v>
      </c>
      <c r="B38" s="69" t="s">
        <v>108</v>
      </c>
      <c r="C38" s="70"/>
      <c r="D38" s="70"/>
      <c r="E38" s="36"/>
      <c r="F38" s="36"/>
    </row>
    <row r="39" customFormat="false" ht="41.75" hidden="false" customHeight="false" outlineLevel="0" collapsed="false">
      <c r="A39" s="37" t="s">
        <v>109</v>
      </c>
      <c r="B39" s="71" t="s">
        <v>110</v>
      </c>
      <c r="C39" s="37" t="s">
        <v>111</v>
      </c>
      <c r="D39" s="37" t="n">
        <v>30</v>
      </c>
      <c r="E39" s="40"/>
      <c r="F39" s="40" t="str">
        <f aca="false">IF(AND(D39&lt;&gt;"",E39&lt;&gt;""),D39*E39,"")</f>
        <v/>
      </c>
    </row>
    <row r="40" customFormat="false" ht="31.8" hidden="false" customHeight="false" outlineLevel="0" collapsed="false">
      <c r="A40" s="37" t="s">
        <v>112</v>
      </c>
      <c r="B40" s="71" t="s">
        <v>113</v>
      </c>
      <c r="C40" s="37" t="s">
        <v>114</v>
      </c>
      <c r="D40" s="37" t="n">
        <v>45</v>
      </c>
      <c r="E40" s="40"/>
      <c r="F40" s="40" t="str">
        <f aca="false">IF(AND(D40&lt;&gt;"",E40&lt;&gt;""),D40*E40,"")</f>
        <v/>
      </c>
    </row>
    <row r="41" customFormat="false" ht="31.8" hidden="false" customHeight="false" outlineLevel="0" collapsed="false">
      <c r="A41" s="37" t="s">
        <v>115</v>
      </c>
      <c r="B41" s="71" t="s">
        <v>116</v>
      </c>
      <c r="C41" s="37" t="s">
        <v>114</v>
      </c>
      <c r="D41" s="37" t="n">
        <v>40</v>
      </c>
      <c r="E41" s="40"/>
      <c r="F41" s="40" t="str">
        <f aca="false">IF(AND(D41&lt;&gt;"",E41&lt;&gt;""),D41*E41,"")</f>
        <v/>
      </c>
    </row>
    <row r="42" customFormat="false" ht="21.85" hidden="false" customHeight="false" outlineLevel="0" collapsed="false">
      <c r="A42" s="37" t="s">
        <v>117</v>
      </c>
      <c r="B42" s="71" t="s">
        <v>118</v>
      </c>
      <c r="C42" s="37" t="s">
        <v>119</v>
      </c>
      <c r="D42" s="37" t="n">
        <v>8</v>
      </c>
      <c r="E42" s="40"/>
      <c r="F42" s="40" t="str">
        <f aca="false">IF(AND(D42&lt;&gt;"",E42&lt;&gt;""),D42*E42,"")</f>
        <v/>
      </c>
    </row>
    <row r="43" customFormat="false" ht="71.6" hidden="false" customHeight="false" outlineLevel="0" collapsed="false">
      <c r="A43" s="37" t="s">
        <v>120</v>
      </c>
      <c r="B43" s="71" t="s">
        <v>121</v>
      </c>
      <c r="C43" s="37" t="s">
        <v>21</v>
      </c>
      <c r="D43" s="37" t="n">
        <v>1</v>
      </c>
      <c r="E43" s="40"/>
      <c r="F43" s="40" t="str">
        <f aca="false">IF(AND(D43&lt;&gt;"",E43&lt;&gt;""),D43*E43,"")</f>
        <v/>
      </c>
    </row>
    <row r="44" customFormat="false" ht="310.4" hidden="false" customHeight="false" outlineLevel="0" collapsed="false">
      <c r="A44" s="37" t="s">
        <v>122</v>
      </c>
      <c r="B44" s="71" t="s">
        <v>123</v>
      </c>
      <c r="C44" s="37" t="s">
        <v>21</v>
      </c>
      <c r="D44" s="37" t="n">
        <v>1</v>
      </c>
      <c r="E44" s="40"/>
      <c r="F44" s="40" t="str">
        <f aca="false">IF(AND(D44&lt;&gt;"",E44&lt;&gt;""),D44*E44,"")</f>
        <v/>
      </c>
    </row>
    <row r="45" customFormat="false" ht="31.8" hidden="false" customHeight="false" outlineLevel="0" collapsed="false">
      <c r="A45" s="37" t="s">
        <v>124</v>
      </c>
      <c r="B45" s="75" t="s">
        <v>125</v>
      </c>
      <c r="C45" s="57" t="s">
        <v>21</v>
      </c>
      <c r="D45" s="57" t="n">
        <v>1</v>
      </c>
      <c r="F45" s="40" t="str">
        <f aca="false">IF(AND(D45&lt;&gt;"",E45&lt;&gt;""),D45*E45,"")</f>
        <v/>
      </c>
    </row>
    <row r="46" customFormat="false" ht="41.75" hidden="false" customHeight="false" outlineLevel="0" collapsed="false">
      <c r="A46" s="37" t="s">
        <v>126</v>
      </c>
      <c r="B46" s="71" t="s">
        <v>127</v>
      </c>
      <c r="C46" s="37" t="s">
        <v>21</v>
      </c>
      <c r="D46" s="37" t="n">
        <v>1</v>
      </c>
      <c r="E46" s="40"/>
      <c r="F46" s="40" t="str">
        <f aca="false">IF(AND(D46&lt;&gt;"",E46&lt;&gt;""),D46*E46,"")</f>
        <v/>
      </c>
    </row>
    <row r="47" customFormat="false" ht="15" hidden="false" customHeight="false" outlineLevel="0" collapsed="false">
      <c r="A47" s="37" t="s">
        <v>128</v>
      </c>
      <c r="B47" s="71" t="s">
        <v>129</v>
      </c>
      <c r="C47" s="37" t="s">
        <v>48</v>
      </c>
      <c r="D47" s="37" t="n">
        <v>1</v>
      </c>
      <c r="E47" s="40"/>
      <c r="F47" s="40" t="str">
        <f aca="false">IF(AND(D47&lt;&gt;"",E47&lt;&gt;""),D47*E47,"")</f>
        <v/>
      </c>
    </row>
    <row r="48" customFormat="false" ht="121.35" hidden="false" customHeight="false" outlineLevel="0" collapsed="false">
      <c r="A48" s="37" t="s">
        <v>130</v>
      </c>
      <c r="B48" s="71" t="s">
        <v>131</v>
      </c>
      <c r="C48" s="37" t="s">
        <v>21</v>
      </c>
      <c r="D48" s="37" t="n">
        <v>1</v>
      </c>
      <c r="E48" s="40"/>
      <c r="F48" s="40" t="str">
        <f aca="false">IF(AND(D48&lt;&gt;"",E48&lt;&gt;""),D48*E48,"")</f>
        <v/>
      </c>
    </row>
    <row r="49" customFormat="false" ht="51.7" hidden="false" customHeight="false" outlineLevel="0" collapsed="false">
      <c r="A49" s="37" t="s">
        <v>132</v>
      </c>
      <c r="B49" s="71" t="s">
        <v>133</v>
      </c>
      <c r="C49" s="37" t="s">
        <v>21</v>
      </c>
      <c r="D49" s="37" t="n">
        <v>1</v>
      </c>
      <c r="E49" s="40"/>
      <c r="F49" s="40" t="str">
        <f aca="false">IF(AND(D49&lt;&gt;"",E49&lt;&gt;""),D49*E49,"")</f>
        <v/>
      </c>
    </row>
    <row r="50" customFormat="false" ht="41.75" hidden="false" customHeight="false" outlineLevel="0" collapsed="false">
      <c r="A50" s="37" t="s">
        <v>134</v>
      </c>
      <c r="B50" s="71" t="s">
        <v>135</v>
      </c>
      <c r="C50" s="37" t="s">
        <v>114</v>
      </c>
      <c r="D50" s="37" t="n">
        <v>100</v>
      </c>
      <c r="E50" s="40"/>
      <c r="F50" s="40" t="str">
        <f aca="false">IF(AND(D50&lt;&gt;"",E50&lt;&gt;""),D50*E50,"")</f>
        <v/>
      </c>
    </row>
    <row r="51" customFormat="false" ht="41.75" hidden="false" customHeight="false" outlineLevel="0" collapsed="false">
      <c r="A51" s="37" t="s">
        <v>136</v>
      </c>
      <c r="B51" s="71" t="s">
        <v>137</v>
      </c>
      <c r="C51" s="37" t="s">
        <v>21</v>
      </c>
      <c r="D51" s="37" t="n">
        <v>2</v>
      </c>
      <c r="E51" s="40"/>
      <c r="F51" s="40" t="str">
        <f aca="false">IF(AND(D51&lt;&gt;"",E51&lt;&gt;""),D51*E51,"")</f>
        <v/>
      </c>
    </row>
    <row r="52" customFormat="false" ht="71.6" hidden="false" customHeight="false" outlineLevel="0" collapsed="false">
      <c r="A52" s="37" t="s">
        <v>138</v>
      </c>
      <c r="B52" s="71" t="s">
        <v>139</v>
      </c>
      <c r="C52" s="37" t="s">
        <v>21</v>
      </c>
      <c r="D52" s="37" t="n">
        <v>1</v>
      </c>
      <c r="E52" s="40"/>
      <c r="F52" s="40" t="str">
        <f aca="false">IF(AND(D52&lt;&gt;"",E52&lt;&gt;""),D52*E52,"")</f>
        <v/>
      </c>
    </row>
    <row r="53" customFormat="false" ht="15" hidden="false" customHeight="false" outlineLevel="0" collapsed="false">
      <c r="A53" s="44"/>
      <c r="B53" s="77" t="s">
        <v>140</v>
      </c>
      <c r="C53" s="78"/>
      <c r="D53" s="78"/>
      <c r="E53" s="46"/>
      <c r="F53" s="47" t="n">
        <f aca="false">SUM(F39:F52)</f>
        <v>0</v>
      </c>
    </row>
    <row r="55" customFormat="false" ht="15" hidden="false" customHeight="false" outlineLevel="0" collapsed="false">
      <c r="A55" s="34" t="s">
        <v>10</v>
      </c>
      <c r="B55" s="69" t="s">
        <v>141</v>
      </c>
      <c r="C55" s="70"/>
      <c r="D55" s="70"/>
      <c r="E55" s="36"/>
      <c r="F55" s="36"/>
    </row>
    <row r="56" customFormat="false" ht="15" hidden="false" customHeight="false" outlineLevel="0" collapsed="false">
      <c r="A56" s="72"/>
      <c r="B56" s="79"/>
      <c r="C56" s="78"/>
      <c r="D56" s="78"/>
      <c r="E56" s="46"/>
      <c r="F56" s="72"/>
    </row>
    <row r="57" customFormat="false" ht="21.85" hidden="false" customHeight="false" outlineLevel="0" collapsed="false">
      <c r="A57" s="37" t="s">
        <v>142</v>
      </c>
      <c r="B57" s="71" t="s">
        <v>143</v>
      </c>
      <c r="C57" s="37" t="s">
        <v>21</v>
      </c>
      <c r="D57" s="37" t="n">
        <v>1</v>
      </c>
      <c r="E57" s="40"/>
      <c r="F57" s="40" t="str">
        <f aca="false">IF(AND(D57&lt;&gt;"",E57&lt;&gt;""),D57*E57,"")</f>
        <v/>
      </c>
    </row>
    <row r="58" customFormat="false" ht="31.8" hidden="false" customHeight="false" outlineLevel="0" collapsed="false">
      <c r="A58" s="37" t="s">
        <v>144</v>
      </c>
      <c r="B58" s="75" t="s">
        <v>145</v>
      </c>
      <c r="C58" s="57" t="s">
        <v>21</v>
      </c>
      <c r="D58" s="57" t="n">
        <v>1</v>
      </c>
      <c r="F58" s="40" t="str">
        <f aca="false">IF(AND(D58&lt;&gt;"",E58&lt;&gt;""),D58*E58,"")</f>
        <v/>
      </c>
    </row>
    <row r="59" customFormat="false" ht="21.85" hidden="false" customHeight="false" outlineLevel="0" collapsed="false">
      <c r="A59" s="37" t="s">
        <v>146</v>
      </c>
      <c r="B59" s="71" t="s">
        <v>147</v>
      </c>
      <c r="C59" s="37" t="s">
        <v>21</v>
      </c>
      <c r="D59" s="37" t="n">
        <v>1</v>
      </c>
      <c r="E59" s="40"/>
      <c r="F59" s="40" t="str">
        <f aca="false">IF(AND(D59&lt;&gt;"",E59&lt;&gt;""),D59*E59,"")</f>
        <v/>
      </c>
    </row>
    <row r="60" customFormat="false" ht="21.85" hidden="false" customHeight="false" outlineLevel="0" collapsed="false">
      <c r="A60" s="37" t="s">
        <v>148</v>
      </c>
      <c r="B60" s="75" t="s">
        <v>149</v>
      </c>
      <c r="C60" s="57" t="s">
        <v>21</v>
      </c>
      <c r="D60" s="57" t="n">
        <v>1</v>
      </c>
      <c r="F60" s="1" t="str">
        <f aca="false">IF(AND(D60&lt;&gt;"",E60&lt;&gt;""),D60*E60,"")</f>
        <v/>
      </c>
    </row>
    <row r="61" customFormat="false" ht="15" hidden="false" customHeight="false" outlineLevel="0" collapsed="false">
      <c r="A61" s="44"/>
      <c r="B61" s="77" t="s">
        <v>150</v>
      </c>
      <c r="C61" s="78"/>
      <c r="D61" s="78"/>
      <c r="E61" s="46"/>
      <c r="F61" s="47" t="n">
        <f aca="false">SUM(F57:F60)</f>
        <v>0</v>
      </c>
    </row>
    <row r="63" customFormat="false" ht="15" hidden="false" customHeight="false" outlineLevel="0" collapsed="false">
      <c r="A63" s="80"/>
      <c r="B63" s="81" t="s">
        <v>151</v>
      </c>
      <c r="C63" s="78"/>
      <c r="D63" s="78"/>
      <c r="E63" s="46"/>
      <c r="F63" s="82" t="n">
        <f aca="false">F36+F53+F61</f>
        <v>0</v>
      </c>
    </row>
    <row r="65" customFormat="false" ht="15" hidden="false" customHeight="false" outlineLevel="0" collapsed="false">
      <c r="A65" s="83"/>
      <c r="B65" s="84" t="s">
        <v>152</v>
      </c>
      <c r="C65" s="78"/>
      <c r="D65" s="78"/>
      <c r="E65" s="46"/>
      <c r="F65" s="46"/>
    </row>
    <row r="66" customFormat="false" ht="15" hidden="false" customHeight="false" outlineLevel="0" collapsed="false">
      <c r="A66" s="72"/>
      <c r="B66" s="85"/>
      <c r="C66" s="78"/>
      <c r="D66" s="78"/>
      <c r="E66" s="46"/>
      <c r="F66" s="40" t="n">
        <f aca="false">'LOT 1'!F29</f>
        <v>0</v>
      </c>
    </row>
    <row r="67" customFormat="false" ht="15" hidden="false" customHeight="false" outlineLevel="0" collapsed="false">
      <c r="A67" s="72"/>
      <c r="B67" s="85"/>
      <c r="C67" s="78"/>
      <c r="D67" s="78"/>
      <c r="E67" s="46"/>
      <c r="F67" s="40" t="n">
        <f aca="false">F63</f>
        <v>0</v>
      </c>
    </row>
    <row r="68" customFormat="false" ht="15" hidden="false" customHeight="false" outlineLevel="0" collapsed="false">
      <c r="A68" s="44"/>
      <c r="B68" s="77" t="s">
        <v>153</v>
      </c>
      <c r="C68" s="78"/>
      <c r="D68" s="78"/>
      <c r="E68" s="46"/>
      <c r="F68" s="47" t="n">
        <f aca="false">SUM(F66:F67)</f>
        <v>0</v>
      </c>
    </row>
    <row r="69" customFormat="false" ht="15" hidden="false" customHeight="false" outlineLevel="0" collapsed="false">
      <c r="A69" s="44"/>
      <c r="B69" s="77" t="s">
        <v>154</v>
      </c>
    </row>
    <row r="70" customFormat="false" ht="15" hidden="false" customHeight="false" outlineLevel="0" collapsed="false">
      <c r="A70" s="44"/>
      <c r="B70" s="77" t="s">
        <v>155</v>
      </c>
      <c r="F70" s="1" t="n">
        <f aca="false">F68*(1-IF(F69="",0,F69/100))</f>
        <v>0</v>
      </c>
    </row>
    <row r="71" customFormat="false" ht="15" hidden="false" customHeight="false" outlineLevel="0" collapsed="false">
      <c r="A71" s="44"/>
      <c r="B71" s="77" t="s">
        <v>156</v>
      </c>
      <c r="F71" s="1" t="n">
        <f aca="false">F70*0.17</f>
        <v>0</v>
      </c>
    </row>
    <row r="72" customFormat="false" ht="15" hidden="false" customHeight="false" outlineLevel="0" collapsed="false">
      <c r="A72" s="44"/>
      <c r="B72" s="77" t="s">
        <v>157</v>
      </c>
      <c r="F72" s="1" t="n">
        <f aca="false">F70+F71</f>
        <v>0</v>
      </c>
    </row>
    <row r="74" customFormat="false" ht="15" hidden="false" customHeight="false" outlineLevel="0" collapsed="false">
      <c r="A74" s="86"/>
      <c r="B74" s="87" t="s">
        <v>158</v>
      </c>
    </row>
    <row r="75" customFormat="false" ht="21.85" hidden="false" customHeight="false" outlineLevel="0" collapsed="false">
      <c r="A75" s="88"/>
      <c r="B75" s="89" t="s">
        <v>159</v>
      </c>
    </row>
    <row r="76" customFormat="false" ht="15" hidden="false" customHeight="false" outlineLevel="0" collapsed="false">
      <c r="A76" s="88"/>
      <c r="B76" s="89" t="s">
        <v>160</v>
      </c>
    </row>
    <row r="77" customFormat="false" ht="21.75" hidden="false" customHeight="false" outlineLevel="0" collapsed="false">
      <c r="A77" s="88"/>
      <c r="B77" s="89" t="s">
        <v>161</v>
      </c>
    </row>
    <row r="78" customFormat="false" ht="15" hidden="false" customHeight="false" outlineLevel="0" collapsed="false">
      <c r="A78" s="88"/>
      <c r="B78" s="89" t="s">
        <v>162</v>
      </c>
    </row>
    <row r="79" customFormat="false" ht="21.85" hidden="false" customHeight="false" outlineLevel="0" collapsed="false">
      <c r="A79" s="88"/>
      <c r="B79" s="89" t="s">
        <v>163</v>
      </c>
    </row>
    <row r="81" customFormat="false" ht="15" hidden="false" customHeight="false" outlineLevel="0" collapsed="false">
      <c r="B81" s="58" t="s">
        <v>164</v>
      </c>
      <c r="E81" s="90" t="s">
        <v>165</v>
      </c>
    </row>
    <row r="124" customFormat="false" ht="15" hidden="false" customHeight="false" outlineLevel="0" collapsed="false">
      <c r="A124" s="55"/>
      <c r="B124" s="55"/>
      <c r="C124" s="55"/>
      <c r="D124" s="55"/>
      <c r="E124" s="55"/>
    </row>
    <row r="132" customFormat="false" ht="15" hidden="false" customHeight="false" outlineLevel="0" collapsed="false">
      <c r="A132" s="55"/>
      <c r="B132" s="55"/>
      <c r="C132" s="55"/>
      <c r="D132" s="55"/>
      <c r="E132" s="55"/>
    </row>
    <row r="133" customFormat="false" ht="15" hidden="false" customHeight="false" outlineLevel="0" collapsed="false">
      <c r="A133" s="55"/>
      <c r="B133" s="55"/>
      <c r="C133" s="55"/>
      <c r="D133" s="55"/>
      <c r="E133" s="55"/>
    </row>
    <row r="134" customFormat="false" ht="15" hidden="false" customHeight="false" outlineLevel="0" collapsed="false">
      <c r="A134" s="55"/>
      <c r="B134" s="55"/>
      <c r="C134" s="55"/>
      <c r="D134" s="55"/>
      <c r="E134" s="55"/>
    </row>
    <row r="135" customFormat="false" ht="15" hidden="false" customHeight="false" outlineLevel="0" collapsed="false">
      <c r="A135" s="55"/>
      <c r="B135" s="55"/>
      <c r="C135" s="55"/>
      <c r="D135" s="55"/>
      <c r="E135" s="55"/>
    </row>
    <row r="144" customFormat="false" ht="15" hidden="false" customHeight="false" outlineLevel="0" collapsed="false">
      <c r="A144" s="55"/>
      <c r="B144" s="55"/>
      <c r="C144" s="55"/>
      <c r="D144" s="55"/>
      <c r="E144" s="55"/>
      <c r="F144" s="55"/>
    </row>
    <row r="1048575" customFormat="false" ht="12.8" hidden="false" customHeight="false" outlineLevel="0" collapsed="false"/>
    <row r="1048576" customFormat="false" ht="12.8" hidden="false" customHeight="false" outlineLevel="0" collapsed="false"/>
  </sheetData>
  <mergeCells count="8">
    <mergeCell ref="A2:F2"/>
    <mergeCell ref="A3:F3"/>
    <mergeCell ref="A124:E124"/>
    <mergeCell ref="A132:E132"/>
    <mergeCell ref="A133:E133"/>
    <mergeCell ref="A134:E134"/>
    <mergeCell ref="A135:E135"/>
    <mergeCell ref="A144:F144"/>
  </mergeCells>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&amp;R&amp;"Times New Roman,Regular"&amp;12 &amp;"Arial,Regular"&amp;10 [BH Telecom | &amp;"Arial,Bold"Interno&amp;"Arial,Regular"]</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2026-08-06T15:05:01Z</dcterms:created>
  <dc:creator>openpyxl</dc:creator>
  <dc:description/>
  <cp:keywords> [BH Telecom | Interno]</cp:keywords>
  <dc:language>en-GB</dc:language>
  <cp:lastModifiedBy/>
  <dcterms:modified xsi:type="dcterms:W3CDTF">2026-08-12T16:55:36Z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bjClsUserRVM">
    <vt:lpwstr>[]</vt:lpwstr>
  </property>
  <property fmtid="{D5CDD505-2E9C-101B-9397-08002B2CF9AE}" pid="3" name="bjDocumentLabelXML">
    <vt:lpwstr>&lt;?xml version="1.0" encoding="us-ascii"?&gt;&lt;sisl xmlns:xsi="http://www.w3.org/2001/XMLSchema-instance" xmlns:xsd="http://www.w3.org/2001/XMLSchema" sislVersion="0" policy="5f91bfb2-a9c1-45d0-8517-08b1f316eb15" origin="userSelected" xmlns="http://www.boldonj</vt:lpwstr>
  </property>
  <property fmtid="{D5CDD505-2E9C-101B-9397-08002B2CF9AE}" pid="4" name="bjDocumentLabelXML-0">
    <vt:lpwstr>ames.com/2008/01/sie/internal/label"&gt;&lt;element uid="id_classification_generalbusiness" value="" /&gt;&lt;/sisl&gt;</vt:lpwstr>
  </property>
  <property fmtid="{D5CDD505-2E9C-101B-9397-08002B2CF9AE}" pid="5" name="bjDocumentSecurityLabel">
    <vt:lpwstr>Interno</vt:lpwstr>
  </property>
  <property fmtid="{D5CDD505-2E9C-101B-9397-08002B2CF9AE}" pid="6" name="bjLabelHistoryID">
    <vt:lpwstr>{740AF07F-B5FD-4336-9AA5-5B70F58EC679}</vt:lpwstr>
  </property>
  <property fmtid="{D5CDD505-2E9C-101B-9397-08002B2CF9AE}" pid="7" name="bjRightHeaderLabel">
    <vt:lpwstr>&amp;"Times New Roman,Regular"&amp;12&amp;K000000 &amp;"Arial,Regular"&amp;10&amp;K000000[BH Telecom | &amp;B&amp;K000000Interno&amp;B&amp;K000000]</vt:lpwstr>
  </property>
  <property fmtid="{D5CDD505-2E9C-101B-9397-08002B2CF9AE}" pid="8" name="bjRightHeaderLabel-even">
    <vt:lpwstr>&amp;"Times New Roman,Regular"&amp;12&amp;K000000 &amp;"Arial,Regular"&amp;10&amp;K000000[BH Telecom | &amp;B&amp;K000000Interno&amp;B&amp;K000000]</vt:lpwstr>
  </property>
  <property fmtid="{D5CDD505-2E9C-101B-9397-08002B2CF9AE}" pid="9" name="bjRightHeaderLabel-first">
    <vt:lpwstr>&amp;"Times New Roman,Regular"&amp;12&amp;K000000 &amp;"Arial,Regular"&amp;10&amp;K000000[BH Telecom | &amp;B&amp;K000000Interno&amp;B&amp;K000000]</vt:lpwstr>
  </property>
  <property fmtid="{D5CDD505-2E9C-101B-9397-08002B2CF9AE}" pid="10" name="bjSaver">
    <vt:lpwstr>PBKzKNjp5eaEU3tBjVgEWI+fS8Y9fUcj</vt:lpwstr>
  </property>
  <property fmtid="{D5CDD505-2E9C-101B-9397-08002B2CF9AE}" pid="11" name="docIndexRef">
    <vt:lpwstr>8fb2bdcd-5e0f-4d13-acfc-f618c7274118</vt:lpwstr>
  </property>
</Properties>
</file>