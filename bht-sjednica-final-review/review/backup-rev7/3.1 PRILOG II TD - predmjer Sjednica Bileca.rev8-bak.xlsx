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T 1" sheetId="1" state="visible" r:id="rId3"/>
    <sheet name="LOT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<sst xmlns="http://schemas.openxmlformats.org/spreadsheetml/2006/main" count="228" uniqueCount="168">
  <si>
    <t xml:space="preserve">PRILOG II TD</t>
  </si>
  <si>
    <t xml:space="preserve">OBRAZAC ZA CIJENU PONUDE - LOT 1</t>
  </si>
  <si>
    <t xml:space="preserve">INFRASTRUKTURA I INSTALACIJA OPREME ZA AUTONOMNI HIBRIDNI SISTEM NAPAJANJA SJEDNICA, BILEĆA (LOT 1 i 2)</t>
  </si>
  <si>
    <t xml:space="preserve">Naziv Ponuđača:       __________________________________</t>
  </si>
  <si>
    <t xml:space="preserve">Ponuda br.:                __________________________________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</si>
  <si>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</si>
  <si>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</si>
  <si>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</si>
  <si>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</si>
  <si>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</si>
  <si>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</si>
  <si>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r.br.</t>
  </si>
  <si>
    <t xml:space="preserve">Opis stavke</t>
  </si>
  <si>
    <t xml:space="preserve">Jed. mjere</t>
  </si>
  <si>
    <t xml:space="preserve">Količina</t>
  </si>
  <si>
    <t xml:space="preserve">Jed. cijena u KM bez PDV-a</t>
  </si>
  <si>
    <t xml:space="preserve">Ukupna cijena u KM bez PDV-a  6=(4x5)</t>
  </si>
  <si>
    <t xml:space="preserve">LOT 1 — KONSTRUKCIJA NOSAČA ZA FOTONAPONSKE PANELE</t>
  </si>
  <si>
    <t xml:space="preserve">NOSAČI ZA FOTONAPONSKE PANELE</t>
  </si>
  <si>
    <t xml:space="preserve">1.1</t>
  </si>
  <si>
    <t xml:space="preserve">Isporuka i montaža nosive metalne konstrukcije (ground mount support) za prihvat fotonaponskih panela, karakteristika:
 - tip: CUSTOM IZRADA (izvan kataloga zbog opterećenja vjetrom, v. niže) — 3 nosača, svaki za 4 fotonaponska modula (2 reda × 2 kolone, portret); geometrija margina/prepusta preuzeta iz Huawei Standard A-Shaped Support 3.0 konvencije (PVM Tabela 4-20), ali poprečna greda izrađena po mjeri za 2 kolone modula, ne za kataloških 6
 - inklinacija: fiksno 45°, orijentacija JUG (azimut 180°). Nagib je zadržan zbog decembarskog prinosa — pri podnevnoj visini Sunca 23,6° na 42,94° N nagib 45° ostvaruje 93 % direktnog zračenja u odnosu na 85 % pri 35°, a decembar je mjerodavni mjesec za dimenzionisanje autonomnog sistema
 - gabariti PV polja po nosaču (2 reda × 2 modula, portret): širina polja 2305 mm (poprečna greda 2918 mm, bočni prepust 306,5 mm), dužina polja po nagibu 4576 mm (2 × 2278 mm, nepromijenjeno), horizontalna projekcija 3236 mm pri nagibu 45°; donja ivica panela na +0,50 m, gornja ivica na +3,74 m od nivoa terena
 - smještaj: nosači se temelje IZVAN ograđenog platoa, južno od ograde, u pojasu širine cca 1950 mm; odmak od ograde ponuđač utvrđuje pri poziciranju nosača tako da ravan panela nigdje ne dodiruje ogradu; gornja (sjeverna) ivica panela je 1,64 m iznad kote ograde h=2,10 m. Ponuđač provjerava da konstrukcija u cijelosti ostaje unutar zakupljene parcele 16,00 × 9,40 m
 - MJERODAVNO OPTEREĆENJE VJETROM: qp ≥ 1,20 kN/m² (udar 3 s ≈ 45 m/s) prema ovjerenoj projektnoj dokumentaciji lokacije i BAS EN 1991-1-4 sa BiH nacionalnim aneksom, uz primjenu faktora orografije za izloženi planinski vrh na 1076 m n.v. Koeficijent sile cf ≥ 1,5 pri 45° prema EN 1991-1-4 §7.3, osim ako se proračunom dokaže drugačije. Površina izloženosti vjetru 10,55 m² po nosaču (2305 × 4576 mm). Projektne sile po nosaču (GSN, γQ=1,5 / γG,fav=0,9): podizanje ≥18,1 kN, horizontalna sila ≥13,4 kN, moment prevrtanja ≥42,6 kNm. Mjerodavni su podizanje (uplift) i prevrtanje, a ne nosivost tla. NAPOMENA: kataloški nosač tipa A ima deklarisanu otpornost 31 m/s (0,52 kN/m²) pri 45° i 40 m/s (0,87 kN/m²) pri 15°/25°, što je ISPOD opterećenja ovog lokaliteta čak i za manje polje; Ponuđač je stoga dužan ponuditi konstrukciju dimenzionisanu i dokazanu za stvarno opterećenje lokaliteta, uz pisanu potvrdu proizvođača za konkretnu lokaciju (planinski vrh) ako se ipak nudi kataloški proizvod
 - materijal i izrada: konstrukcijski čelik S275JR (S355JR za stubove) prema EN 10025-2, šuplji profili prema EN 10219 — stubovi min. RHS 80×80×4, rigle min. RHS 60×40×3, ili bilo koji presjek za koji se proračunom dokaže najmanje jednak otporni moment; antikorozivna zaštita vrućim cinčanjem prema EN ISO 1461 min. 70 µm lokalno / 85 µm srednje (klasa korozivnosti C4); zavarivanje prema EN 1090-2 klasa izvedbe EXC2; CE označavanje i izjava o svojstvima prema EN 1090-1; konstrukcijski vijci M16 klase 8.8 prema EN 15048, pričvrsni pribor modula A2/A4 nehrđajući
 - spojni pribor: nehrđajući čelik A2/A4
 - uključeno ožičenje i povezivanje panela do PVDB distribucije preko po-string DC odvodnika prenapona (v. crtež E-01): 12 modula se povezuje u DVA STRINGA po 6 modula (string 1 — nosači PV-1 i PV-2; string 2 — nosači PV-2 i PV-3), po jedan string na svaku od dvije rute PVDB ormara</t>
  </si>
  <si>
    <t xml:space="preserve">kpl</t>
  </si>
  <si>
    <t xml:space="preserve">1.2</t>
  </si>
  <si>
    <t xml:space="preserve">Isporuka i ugradnja sistema sidrenja nosive konstrukcije iz Tačke 1.1 u stijenu/beton, hemijskim (epoksidnim) ankerima.
 - tip: hemijski (epoksidni/vinilesterski) anker M16 ili M20 sa ETA odobrenjem za ugradnju u beton i/ili stijenu, vruće cinčan ili nehrđajući A4
 - broj: najmanje 2 ankera po temeljnoj traci, odnosno 4 ankera po nosaču (minimum 2 po traci zbog redundanse)
 - nosivost: karakteristična sila čupanja ≥30 kN po ankeru; dubina ugradnje prema ETA za konkretnu podlogu. Ukupna projektna sila podizanja po nosaču ≥18,1 kN (GSN); sila po traci od momenta prevrtanja ≥26,6 kN pri razmaku traka 1600 mm
 - dokazivanje: ispitivanje čupanjem (pull-out test) na najmanje 10 % ugrađenih ankera, minimalno 2 po nosaču, do 1,5 × projektne sile, uz zapisnik ovjeren od nadzornog organa
 - alternativa: livena U-anker sidra M16, dužine 320 mm, razmaka krakova 180 mm, sa pločama 50×50 mm i dvostrukim maticama, dozvoljena su SAMO uz gravitacioni temelj zapremine ≥0,75 m³ po nosaču (tendovano 0,81 m³ po nosaču, v. Tačku 2.3) — momenat prevrtanja i dalje zahtijeva provjeru lokalnog istezanja trake, ne samo ukupne mase</t>
  </si>
  <si>
    <t xml:space="preserve">1.3</t>
  </si>
  <si>
    <t xml:space="preserve">Statički proračun nosive konstrukcije i temelja, ovjeren i potpisan od strane ovlaštenog inženjera.
 - dokaz otpornosti na pritisak vjetra qp ≥ 1,20 kN/m² pri nagibu 45°, prema BAS EN 1991-1-4 sa BiH nacionalnim aneksom, uključujući orografiju
 - dokaz na opterećenje snijegom prema BAS EN 1991-1-3 i na radijalni led 20 mm gustine 300 kg/m³
 - dokaz sigurnosti na podizanje (uplift) i prevrtanje prema EN 1990 (γQ,dst = 1,5; γG,stb = 0,9)
 - dimenzionisanje temelja i sidrenja prema stvarnim geotehničkim uslovima (kamenito tlo), uz navođenje dubine smrzavanja za lokalitet
NAPOMENA: proračun se dostavlja tokom realizacije kao uslov za primopredaju.</t>
  </si>
  <si>
    <t xml:space="preserve">1.4</t>
  </si>
  <si>
    <t xml:space="preserve">Uzemljenje nosivih konstrukcija: povezivanje obje konstrukcije na postojeći prstenasti uzemljivač lokacije bakarnim užetom presjeka 50 mm² sa izolacijom otpornom na UV zračenje i ukopavanje, preko priključnih stezaljki na konstrukciji i bimetalnih (Cu/Fe-Zn) ukrsnih komada radi sprječavanja galvanske korozije. Presjek prema EN 62305-3, Tabela 7, za odvođenje atmosferskog pražnjenja. Kontinuitet svih spojeva ≤0,1 Ω, ukupni otpor uzemljenja ≤10 Ω. DC kablovi se polažu na razmaku ≥0,5 m od odvoda gromobranske instalacije (Huawei §4.1.3).</t>
  </si>
  <si>
    <t xml:space="preserve">1.5</t>
  </si>
  <si>
    <t xml:space="preserve">Dokumentacija izvedenog stanja za LOT 1: kataloška dokumentacija nosača sa tehničkim crtežima, statički proračun, atesti materijala i vrućeg cinčanja, garantni list.</t>
  </si>
  <si>
    <t xml:space="preserve">UKUPNO 1 — NOSAČI ZA FOTONAPONSKE PANELE:</t>
  </si>
  <si>
    <t xml:space="preserve">GRAĐEVINSKI RADOVI</t>
  </si>
  <si>
    <t xml:space="preserve">2.1</t>
  </si>
  <si>
    <t xml:space="preserve">Iskop zemlje IV-V kategorije za temeljne trake nosača. Iskop cca 1,59 m3 za svaku temeljnu traku. 3 nosača × 2 trake × 1,59 m3</t>
  </si>
  <si>
    <t xml:space="preserve">m3</t>
  </si>
  <si>
    <t xml:space="preserve">2.2</t>
  </si>
  <si>
    <t xml:space="preserve">Zatrpavanje rova zemljom od iskopa uz nabijanje u slojevima. 3 nosača × 2 trake × 1,10 m3</t>
  </si>
  <si>
    <t xml:space="preserve">2.2a</t>
  </si>
  <si>
    <t xml:space="preserve">Odvoz i zbrinjavanje viška materijala od iskopa do deponije udaljene do 20 km.</t>
  </si>
  <si>
    <t xml:space="preserve">2.2b</t>
  </si>
  <si>
    <t xml:space="preserve">Nabavka materijala, transport i ugradnja podložnog betona C12/15 ispod temeljnih traka, prema zahtjevima proizvođača. 3 nosača × 2 trake × 0,094 m3</t>
  </si>
  <si>
    <t xml:space="preserve">2.3</t>
  </si>
  <si>
    <t xml:space="preserve">Nabavka materijala, transport i betoniranje DVIJE temeljne trake po nosaču, betonom C30/37 klase izloženosti XC4 + XF3 prema BAS EN 206 (aerant 4–6 %, Dmax 16, konzistencija S3), uz upotrebu oplate i njegovanje betona. Armatura B500B, zaštitni sloj ≥50 mm, prema ovjerenom statičkom proračunu iz Tačke 1.3. Obračun po m³ ugrađenog betona. 3 nosača × 2 trake × 0,41 m³
BETON I ARMATURA: beton klase C30/37, klase izloženosti XC4 + XF3 prema BAS EN 206, sa aerantom 4–6 %, Dmax 16, konzistencija S3; podložni beton C12/15 d=50 mm; armatura B500B, zaštitni sloj ≥50 mm. Klasa XF3 je mjerodavna zbog cikličnog smrzavanja i odmrzavanja u vlažnom stanju na 1076 m n.v. Temeljna spojnica mora biti ispod dubine smrzavanja za lokalitet, koju Ponuđač navodi u ponudi. Dubina trake prema ovjerenom statičkom proračunu iz Tačke 1.3.</t>
  </si>
  <si>
    <t xml:space="preserve">2.4</t>
  </si>
  <si>
    <t xml:space="preserve">Obrada vidljivih strana i gornje površine temeljnih traka cementnim malterom u nagibu 1,0 %, zaglađeno do crnog sjaja.</t>
  </si>
  <si>
    <t xml:space="preserve">m2</t>
  </si>
  <si>
    <t xml:space="preserve">2.5</t>
  </si>
  <si>
    <t xml:space="preserve">Ostali sitni građevinski i potrošni materijal.</t>
  </si>
  <si>
    <t xml:space="preserve">paušal</t>
  </si>
  <si>
    <t xml:space="preserve">UKUPNO 2 — GRAĐEVINSKI RADOVI ZA NOSAČE FN PANELA:</t>
  </si>
  <si>
    <t xml:space="preserve">UKUPNO LOT 1 — NOSAČI ZA FOTONAPONSKE PANELE (bez PDV-a):</t>
  </si>
  <si>
    <t xml:space="preserve">REKAPITULACIJA — LOT 1</t>
  </si>
  <si>
    <t xml:space="preserve">UKUPNO LOT 1 (bez PDV-a):</t>
  </si>
  <si>
    <t xml:space="preserve">Popust (%):</t>
  </si>
  <si>
    <t xml:space="preserve">UKUPNO LOT 1 sa popustom (bez PDV-a):</t>
  </si>
  <si>
    <t xml:space="preserve">PDV 17%:</t>
  </si>
  <si>
    <t xml:space="preserve">UKUPNO LOT 1 sa PDV-om:</t>
  </si>
  <si>
    <t xml:space="preserve">OBRAZAC ZA CIJENU PONUDE - LOT 2</t>
  </si>
  <si>
    <t xml:space="preserve">INFRASTRUKTURA I INSTALACIJA OPREME ZA AUTONOMNI HIBRIDNI SISTEM NAPAJANJA SJEDNICA, BILEĆA (LOT 2)</t>
  </si>
  <si>
    <t xml:space="preserve">Ponuda br.:              __________________________________</t>
  </si>
  <si>
    <t xml:space="preserve">LOT 2 - INSTALACIJA AGREGATSKOG POSTROJENJA ZA HIBRIDNI SISTEM NAPAJANJA</t>
  </si>
  <si>
    <t xml:space="preserve">AUTOMATSKI DIZEL ELEKTRIČNI AGREGAT (DEA) — TEHNIČKA SPECIFIKACIJA</t>
  </si>
  <si>
    <t xml:space="preserve">3.1</t>
  </si>
  <si>
    <t xml:space="preserve">Isporuka automatskog DEA sljedećih karakteristika. TEHNIČKA SPECIFIKACIJA — bez cijene; nabavna vrijednost agregata iskazuje se u Tački 4.1.
AGREGAT: 18 kVA / 14,4 kW (±5 %) pri cosφ 0,8, Stand-by prema ISO 8528-3; kao FG Wilson P18-6 (Skid) ili ekvivalent. Pouzdan start i rad do −20 °C. Snaga prema ISO 3046 za nadmorsku visinu preko 1000 m (lokacija 1076 m n.v.); ponuđač dostavlja derating snage za nadmorsku visinu i temperaturu.
DIZEL MOTOR: Perkins, Cummins, Cat®, Deutz ili John Deere; četverotaktni linijski, direktno ubrizgavanje, vodeno hlađen; radna zapremina cca 2,2 l, mehanički regulator broja obrtaja; gorivo BAS EN 590; elektropokretač 12 VDC, 1500 o/min; senzor temperature rashladne tečnosti, senzor pritiska ulja, start/stop relej; filter ulja, zraka i goriva; samousisna dobavna pumpa goriva 12 VDC; GRIJAČ RASHLADNE TEČNOSTI 230 V sa podesivim termostatom (obavezno — zimski rad). Kao Perkins 404D-22G1 ili ekvivalent.
GENERATOR: Stamford, Leroy-Somer, Mecc Alte ili Marelli; VDE 0530, IEC 60034-1; trofazni, sinhroni, samouzbudni, bezčetkični; 18 kVA pri cosφ 0,8, 1500 o/min, 3×400/230 V, 50 Hz; IP23, klasa izolacije H, AVR ±1 %, THDv 5 %.
 - POBUDA: nezavisni sistem pobude — PMG ili AREP/AUX namotaj. Trajna struja kratkog spoja najmanje 3 × In (≈78 A pri 18 kVA / 400 V) u trajanju od najmanje 10 s, prema ISO 8528-3. Standardna SHUNT pobuda NIJE prihvatljiva Ponuđač dostavlja podatak o trajnoj struji kratkog spoja iz tehničkog lista proizvođača.
 - kao Stamford BCI164C u izvedbi sa PMG ili AREP/AUX pobudom, ili ekvivalent.
KOMANDNI ORMAR (KOA): limeni, zabravljen, mehaničke zaštite min. IP41, svi priključci odozdo; sabirnice L1, L2, L3, N i PE (N i PE spojene samo na jednom mjestu); neovisan strujni krug za grijač motora, servisna utičnica 230 V AC, rasvjeta KOA.
KOMUTACIJA — LOKACIJA NIJE PRIKLJUČENA NA ELEKTROENERGETSKU MREŽU: ne predviđa se mrežni sklopnik niti izbor izvora „mreža"; komutacija se izvodi između hibridnog sistema napajanja i agregata. Start/stop DEA komanduje se iz Huawei kontrolno-upravljačkog sistema preko modula GIM01C1, po kriteriju stanja napunjenosti baterija (SoC), a NE po ispadu mrežnog napona. Izlaz agregata vodi se na AC ulazni modul AIU03 hibridnog sistema.
KONTROLER I NADZOR: RS232, RS485, Ethernet (RJ45), USB; Modbus RTU, Modbus TCP, SNMP, SMS; integracija u krovni sistem nadzora BH Telecom-a (SCADA — Ignition) putem SNMP / Modbus TCP / Web REST API. Mjerenja: pritisak ulja, temperatura rashladnog sredstva, nivo goriva, napon i struja generatora po fazama, snaga, frekvencija, napon akumulatora, vrijeme rada motora. Alarmi: hitno zaustavljanje, nizak pritisak ulja, visoka/niska temperatura, pod/prekomjerna brzina, nizak/visok napon generatora i baterije, kvar alternatora, neuspješno pokretanje i zaustavljanje, NIZAK NIVO GORIVA, DETEKCIJA CURENJA GORIVA, POŽAR. Režimi rada: automatski, ručni, testni. Kao Deep Sea Electronics DSE 7420 MKII ili ekvivalent.
OSTALA OPREMA: start baterija 12 V / 70 Ah; punjač start baterije 12 V / 5 A / 230 V, programabilni, sa dojavom kvara, uvezan sa kontrolerom.</t>
  </si>
  <si>
    <t xml:space="preserve">AGREGAT ZA MONTAŽU U POSTOJEĆI KONTEJNER</t>
  </si>
  <si>
    <t xml:space="preserve">OPŠTE NAPOMENE UZ TAČKU 4: DEA se ugrađuje u postojeći kontejner u „inside skid" izvedbi (agregat na zajedničkom nosivom skid-okviru, bez vlastitog vanjskog kućišta — funkciju kućišta preuzima kontejner). Referentna izvedba data je u Prilogu III.
NOSIVOST PODA: podna konstrukcija je dimenzionisana na 10,00 kN/m² ukupnog (g+p) RAVNOMJERNO RASPODIJELJENOG opterećenja prema ovjerenom projektu lokacije („04 AG dio", tačka 4.4.2.3). Agregat (372 kg mokro na 0,96 m² = 3,80 kN/m²) i pun spremnik (≈590 kg na 0,63 m² = 9,2 kN/m²) ostaju unutar te vrijednosti, ali djeluju KONCENTRISANO na malom broju sekundarnih nosača, zbog čega je roštilj za raznošenje opterećenja iz Tačke 4.4 OBAVEZAN. Vrijednost 2,00 kN/m² iz istog projekta odnosi se samo na pokretno opterećenje prohodnog dijela poda i nije mjerodavna za oslanjanje opreme.</t>
  </si>
  <si>
    <t xml:space="preserve">4.1</t>
  </si>
  <si>
    <t xml:space="preserve">Isporuka i montaža automatskog DEA opisanog pod Tačkom 3.1 u postojeći kontejner, u skid izvedbi, na antivibracionim osloncima sa pripremom za pričvršćenje za podlogu. Stavka obuhvata i nabavnu vrijednost agregata iz Tačke 3.1.
 - PRISTUP: unos kroz kapiju na sredini istočne strane ograde (svijetla širina cca 1,00 m) i ulazna vrata kontejnera 900 × 2000 mm; ponuđač bira način unosa i dužan je u ponudi potvrditi izvodljivost
 - SERVISNI PROSTOR ( prema crtežu M-01): agregat se postavlja CENTRIRANO u slobodnom prostoru kontejnera, sa najmanje 720 mm sa JUŽNE i 720 mm sa SJEVERNE strane (520 mm na dijelu gdje je GRO) te 1155 mm sa ISTOČNE strane. Sa ZAPADNE strane je hladnjak, koji izduvava u kanal kroz zid i ne servisira se s te strane
 - dimenzije skida prilagoditi raspoloživom prostoru
 - dozvoljeni nivo buke izvan kontejnera &lt;68 dBA pri opterećenju 75 % na 7 m, režim Standby
 - taster EMERGENCY STOP uz ulazna vrata kontejnera</t>
  </si>
  <si>
    <t xml:space="preserve">4.2</t>
  </si>
  <si>
    <t xml:space="preserve">Isporuka, montaža i povezivanje dvoplašnog spremnika dizel goriva zapremine 500 l (0,5 m³), od čeličnog lima, sa svim spojnim priborom, cjevovodima i armaturama. Zapremina spremnika nije predmet varijantnih rješenja i ne umanjuje se ni u slučaju ojačanja poda iz Tačke 4.4.
 - referentne dimenzije 1050 × 600 × 1310 mm, masa prazan 170 kg (pun ≈590 kg); smještaj u JUGOISTOČNI ugao kontejnera, u koritu iz Tačke 4.3, prema crtežu M-01
 - odušna cijev izvedena IZVAN kontejnera, otvor zaštićen metalnom mrežicom; odzračni cjevovod od čeličnih bešavnih cijevi prema DIN 2448 sa odzračnim ventilom tip AT
 - priključak za punjenje sa zatvaračem, izveden na vanjskoj strani kontejnera; obezbijediti prilaz autocisterne, a na pretakalištu ugraditi uređaj za odvođenje statičkog elektriciteta
 - priključak za pražnjenje sa zatvaračem i priključkom za crijevo
 - DVA uređaja za mjerenje nivoa goriva koji rade nezavisno, sa različitim principom prikazivanja; nivo se prosljeđuje u nadzorni centar
 - sonda za detekciju curenja goriva u međuplaštu
 - pločica sa tehničkim podacima (proizvođač, tvornički broj, tip, godina, materijal, ispitni pritisak, zapremina)
 - napajanje motora gorivom kroz Cu cijevi NO 8 mm (polazni i povratni vod)
 - spremnik strukturno ojačan i zaštićen od krađe goriva</t>
  </si>
  <si>
    <t xml:space="preserve">4.3</t>
  </si>
  <si>
    <t xml:space="preserve">Statički proračun nosivosti podne konstrukcije postojećeg kontejnera, ovjeren od strane ovlaštenog inženjera, te izrada i ugradnja čeličnog roštilja/rama za RAZNOŠENJE OPTEREĆENJA ispod skida agregata I ispod korita sa spremnikom, sa prenosom opterećenja na primarne nosače podne konstrukcije, uključujući antikorozivnu zaštitu i sav spojni materijal. Sekundarni nosači su HOP 100×50×3 na razmaku 0,51 m. Ponuđač proračunom dokazuje raspodjelu i dimenzije rama. Zapremina spremnika se ne umanjuje.</t>
  </si>
  <si>
    <t xml:space="preserve">4.4</t>
  </si>
  <si>
    <t xml:space="preserve">Izrada i montaža fleksibilnog spoja od plastificiranog ceradnog platna sa protuokvirom od čelične trake 30 × 1,5 mm, prema dimenzijama hladnjaka ponuđenog agregata.</t>
  </si>
  <si>
    <t xml:space="preserve">4.5</t>
  </si>
  <si>
    <t xml:space="preserve">Izrada i montaža limenog kanala P ≈ 6 m² za odvod toplog zraka sa agregata, od pocinčanog lima d=1 mm, sa prirubnicama 30 × 1,5 mm, komplet sa fazonskim komadima i ovjesnim priborom.
RASPORED (OBAVEZNO, prema crtežu M-01): kanal se vodi najkraćim putem od radijatora kroz ZAPADNI zid kontejnera do izlazne žaluzine iz Tačke 4.7.</t>
  </si>
  <si>
    <t xml:space="preserve">4.6</t>
  </si>
  <si>
    <t xml:space="preserve">Isporuka i montaža fiksne žaluzine na kraju kanala za odvod toplog zraka, dimenzija 600 × 600 mm, sa zaštitnom mrežicom, komplet sa montažnim materijalom.
RASPORED (OBAVEZNO, prema crtežu M-01): žaluzina se ugrađuje u ZAPADNI zid kontejnera, na osi radijatora agregata. Topli zrak i izduv se NE smiju izbacivati prema SJEVERNOJ strani, gdje se nalaze postojeći vanjski ormari ICC360-HA1-C1 i MTS9302A i gdje se nalazi usis svježeg zraka.</t>
  </si>
  <si>
    <t xml:space="preserve">4.7</t>
  </si>
  <si>
    <t xml:space="preserve">Isporuka i montaža vanjske fiksne žaluzine za dovod svježeg zraka, dimenzija 500 × 700 mm, sa zaštitnom mrežicom. Žaluzine postaviti tako da se spriječi ulaz vode u kontejner prilikom padavina.
RASPORED (OBAVEZNO, prema crtežu M-01): žaluzina se ugrađuje u SJEVERNI zid kontejnera, na istočnom kraju, sa donjom ivicom na cca 0,30 m od poda. Sjeverna strana je zasjenjena i daje najhladniji usisni zrak, čime se poboljšava hlađenje agregata. Žaluzina se postavlja istočno od vanjskih ormara ICC360-HA1-C1/MTS9302A kako se ne bi usisavao topli zrak sa njih. Prostorna udaljenost od izduva i od odušne cijevi spremnika ≥3 m. Nije dozvoljeno izvesti dovod zraka kroz ulazna vrata.</t>
  </si>
  <si>
    <t xml:space="preserve">4.8</t>
  </si>
  <si>
    <t xml:space="preserve">Isporuka i montaža aksijalnog ventilatora za prinudnu ventilaciju prostora agregata, kapaciteta 1200 m³/h, Ø315 mm, sa termostatskim upravljanjem. Ventilator spojiti sa komandnim ormarom agregata tako da se prilikom uključenja agregata vrši i direktno uključenje ventilatora. Minimalna potrebna ventilacija prostora iznosi 120 m³/h (6 izmjena zraka na sat).
RASPORED (prema crtežu M-01): ventilator se ugrađuje u ISTOČNI zid kontejnera, u gornjoj zoni (donja ivica cca 1,75 m), sjeverno od ulaznih vrata.</t>
  </si>
  <si>
    <t xml:space="preserve">4.9</t>
  </si>
  <si>
    <t xml:space="preserve">Isporuka i montaža okrugle zaštitne rešetke na izlaznoj strani ventilatora, kao OZR-1/S/RAL/315 ili ekvivalent.</t>
  </si>
  <si>
    <t xml:space="preserve">4.10</t>
  </si>
  <si>
    <t xml:space="preserve">Isporuka i montaža sistema za odvod izduvnih gasova: čelična cijev NO 50 mm sa ispušnim loncem, izvedena izvan kontejnera i završena oboreno prema zemlji u obliku lule. Na kraju izduvne cijevi postaviti HVATAČ ISKRI. Komplet sa elastičnim umetkom, lukovima i montažnim materijalom.
TRASA: fleksibilni spoj i prigušivač neposredno iza motora, uspon uz ZAPADNI zid kontejnera, završetak IZNAD KROVA usmjeren naviše, sa hvatačem iskri.
NO 50: sa agregatom 18 kVA protok izduvnih gasova je 192 m³/h pri 413 °C, brzina 27,2 m/s (ispod uobičajenih 30 m/s), protutlak ≈1,9 kPa uz dozvoljenih 10,2 kPa.</t>
  </si>
  <si>
    <t xml:space="preserve">4.11</t>
  </si>
  <si>
    <t xml:space="preserve">Čišćenje i bojenje izduvnog cjevovoda bojom otpornom na temperaturu 600 °C.</t>
  </si>
  <si>
    <t xml:space="preserve">4.12</t>
  </si>
  <si>
    <t xml:space="preserve">Termička izolacija izduvnog sistema kamenom vunom d=50 mm i opšivanje izduvnog cjevovoda i lonca Al limom d=1 mm, do P ≈ 6 m².</t>
  </si>
  <si>
    <t xml:space="preserve">4.13</t>
  </si>
  <si>
    <t xml:space="preserve">Isporuka i ugradnja opreme za zimski rad: grijač prostora agregata sa termostatom, termoizolacija cjevovoda goriva i grijanje/zaštita spremnika od hladnog starta, komplet sa napajanjem i upravljanjem iz KOA.</t>
  </si>
  <si>
    <t xml:space="preserve">4.14</t>
  </si>
  <si>
    <t xml:space="preserve">Protupožarna zaštita i senzorika prostora agregata: automatski detektor dima na stropu, termojavljač povišene temperature (t&gt;30 °C) i snižene temperature (t&lt;10 °C), aparat za početno gašenje požara S-6 sa nosačem, te automatski uređaj za gašenje požara. Svi signali se prosljeđuju do razvodnog ormara signalizacije (ROS) i u nadzorni centar.</t>
  </si>
  <si>
    <t xml:space="preserve">4.15</t>
  </si>
  <si>
    <t xml:space="preserve">Prvo punjenje spremnika dizel gorivom EURO 5 / BAS EN 590, uključujući transport gorivom na lokaciju i pretakanje. Obračun po stvarno isporučenoj količini. Prvo punjenje je 250 l (spremnik 500 l se ne puni do vrha pri primopredaji).</t>
  </si>
  <si>
    <t xml:space="preserve">l</t>
  </si>
  <si>
    <t xml:space="preserve">4.16</t>
  </si>
  <si>
    <t xml:space="preserve">Sitni montažni materijal.</t>
  </si>
  <si>
    <t xml:space="preserve">4.17</t>
  </si>
  <si>
    <t xml:space="preserve">Dokumentacija izvedenog stanja: kataloška dokumentacija DEA (motor, generator, skid, kontroler) sa tehničkim crtežima, uputstvo za rukovanje i održavanje sa specifikacijom rezervnih dijelova, inovirana elektro shema ožičenja DEA i veze sa TK objektom, ispitni list proizvođača (Factory Work Load TEST), katalog i ispitni list spremnika goriva, garantni list, CE i ISO 9001 certifikat.</t>
  </si>
  <si>
    <t xml:space="preserve">4.18</t>
  </si>
  <si>
    <t xml:space="preserve">Set rezervnih dijelova za 500 sati rada DEA po preporuci proizvođača.</t>
  </si>
  <si>
    <t xml:space="preserve">4.19</t>
  </si>
  <si>
    <t xml:space="preserve">Isporuka i ugradnja protupožarnog (sigurnosnog) ventila na izlaznom vodu goriva iz spremnika, sa termičkim okidanjem (topljivi osigurač) ili solenoidnom izvedbom, koji zatvara dovod goriva pri požaru i pri aktiviranju tastera EMERGENCY STOP. Komplet sa nosačem, spojnim materijalom, uvezivanjem u sistem detekcije požara i funkcionalnim ispitivanjem.</t>
  </si>
  <si>
    <t xml:space="preserve">4.20</t>
  </si>
  <si>
    <t xml:space="preserve">Isporuka, ugradnja i parametriranje blokade ventilacije pri aktiviranju automatskog gašenja: pri detekciji požara i aktivaciji uređaja za gašenje automatski se zaustavlja agregat, isključuje aksijalni ventilator prostora i zatvaraju se motorne žaluzine dovoda i odvoda zraka, kako sredstvo za gašenje ne bi bilo odneseno strujom zraka. Uključene motorne klapne na usisnoj i izlaznoj žaluzini, upravljački modul, kablovanje i funkcionalno ispitivanje.</t>
  </si>
  <si>
    <t xml:space="preserve">UKUPNO 4 — AGREGAT ZA MONTAŽU U KONTEJNER:</t>
  </si>
  <si>
    <t xml:space="preserve">ELEKTROMONTAŽNI RADOVI</t>
  </si>
  <si>
    <t xml:space="preserve">5.1</t>
  </si>
  <si>
    <t xml:space="preserve">Iskop rova dimenzija 0,40 × 0,80 m u zemlji IV-V kategorije za polaganje elektroenergetskih kablova i uzemljivačke trake, sa zatrpavanjem zemljom od iskopa te raščišćavanjem i planiranjem trase. Obračun po ostvarenom m1.</t>
  </si>
  <si>
    <t xml:space="preserve">m1</t>
  </si>
  <si>
    <t xml:space="preserve">5.2</t>
  </si>
  <si>
    <t xml:space="preserve">Isporuka i polaganje alkaten PEHD cijevi Ø50 za uvlačenje napojnog energetskog kabla, DC solarnih kablova i kabla za daljinski nadzor. Na cijevi položiti upozoravajuću PVC traku "PAŽNJA ENERGETSKI KABEL". 3 cijevi × 15,00 m</t>
  </si>
  <si>
    <t xml:space="preserve">m</t>
  </si>
  <si>
    <t xml:space="preserve">5.3</t>
  </si>
  <si>
    <t xml:space="preserve">Isporuka i polaganje vruće pocinčane uzemljivačke trake Fe/Zn 25×4 mm (presjek min. 100 mm², debljina min. 2,5 mm), na dubini od 1,00 m obzirom da se radi o planinskoj lokaciji (izbjegavanje efekta zaleđivanja tla), sa svim radovima na povezivanju na postojeći prstenasti uzemljivač radi izjednačenja potencijala.</t>
  </si>
  <si>
    <t xml:space="preserve">5.4</t>
  </si>
  <si>
    <t xml:space="preserve">Isporuka i montaža FeZn 60×60 mm ukrsnih komada za povezivanje uzemljivačke trake na postojeći sistem uzemljenja i na nosive konstrukcije FN panela.</t>
  </si>
  <si>
    <t xml:space="preserve">kom</t>
  </si>
  <si>
    <t xml:space="preserve">5.5</t>
  </si>
  <si>
    <t xml:space="preserve">Isporuka i polaganje veza na dionici hibridni sistem — DEA:
 - energetski kabl dužine do 15 m, tip NYY-J 5×6 mm²
 - signalni kabl dužine do 15 m, tip J-Y(ST)Y 4×2×0,6 mm²
 - komunikacioni Ethernet kabl dužine do 15 m, tip STP Cat5
Kablovi se polažu uvlačenjem u PEHD cijevi/bužire i u metalne kanale, komplet sa montažnim materijalom, spajanjem na obje strane, bušenjem prodora na kontejneru, ugradnjom uvodnica i zaštitnog lima. Obavezna obrada svih prodora sa aspekta sigurnosti, toplinske izolacije (pur pjena, armaflex) i estetike.</t>
  </si>
  <si>
    <t xml:space="preserve">5.6</t>
  </si>
  <si>
    <t xml:space="preserve">Isporuka i montaža NOVOG GLAVNOG RAZVODNOG ORMARA (GRO) — AC RAZVODNA SEKCIJA, za ugradnju u postojeći kontejner. Ormar je zajednička AC razvodna kutija za agregat (DEA), ispravljački sistem (Huawei ICC360-HA1-C1 ili kompatibilan) i ostalu AC opremu kontejnera. DC/solarni razvod NIJE dio ovog ormara — DC rastavljač, osigurači nizova i DC odvodnik prenapona smješteni su u zasebnom PVDB ormaru koji obezbjeđuje Kupac, fizički odvojenom od GRO-a. Ormar zidni sa nosačima, orijentacionih dimenzija 0,60 × 0,25 × 0,80 m (Š×D×V), mehaničke zaštite min. IP66, zabravljen bravom sa višestrukim zaključavanjem, kao Schrack ili ekvivalent. Sa donje strane obezbijediti prostor za uvod kablova sa PG uvodnicama, stezaljkama, elementima za uzemljenje i sabirnicama, komplet ožičeno, sa min. 30 % rezerve za naknadna proširenja.
AC RAZVOD — AGREGAT I ISPRAVLJAČI:
 - 1 kom 4p tropoložajna sklopka za odabir izvora, 1-0-2, 63 A, sa uvezanim statusom slobodnog kontakta sa kontrolerom agregata (DIG IN); položaje obilježiti: 1-„hibridni sistem", 0-„isključeno", 2-„agregat"
 - 1 kom 3p dvopoložajna sklopka 0-1, 63 A, sa pomoćnim kontaktom za uvezivanje statusa sa kontrolerom agregata (DIG IN)
 - 3 kom 1p automatski prekidač, C, 32 A, 10 kA, za zaštitu napajanja preko DEA
 - 1 kom odvodnik prenapona AC, KOMBINOVANI TIP 1 + 2 prema EN 61643-11, Iimp ≥12,5 kA (10/350 µs) po polu, Up ≤1,5 kV, 4p, sa signalizacijom za daljinsko očitanje i uvezanim statusom sa kontrolerom agregata. Objekat ima vanjski sistem zaštite od munje (antenski stub h=38 m), pa odvodnik tipa 2 sam po sebi NIJE dovoljan prema EN 62305-4
 - 1 kom 4p zaštitna strujna sklopka (RCD) 63 A / 300 mA, S-tip (selektivna), za cjelokupni napojni krug iza sklopke izvora
 - 2 kom 1p+N RCBO 16 A / 30 mA, tip A, za utičnice i rasvjetu kontejnera
 - 1 kom 3p automatski prekidač, C, 32 A, 10 kA, za AC napajanje ispravljačkog sistema
 - 2 kom 1p automatski prekidač, C, 16 A, sa rezervom za ostalu AC opremu kontejnera i buduća proširenja
NAPOMENA (OBAVEZNO) — ZAŠTITA OD INDIREKTNOG DODIRA: agregat je otočni izvor ograničene struje kvara pa prekostrujna zaštita NE MOŽE ostvariti isključenje u vremenu prema IEC 60364-4-41 (0,4 s za 230 V). Zaštita zaštitnom strujnom sklopkom je stoga OBAVEZNA. Sistem uzemljenja je TN-S sa jedinstvenom tačkom spajanja N i PE u ovom ormaru; otpor uzemljenja ≤10 Ω.
Sve metalne mase ormara koje u normalnom radu nisu pod naponom povezati na sabirnice za izjednačenje potencijala. Uvodi kablova brtvljeni uvodnicama. Izraditi i pričvrstiti gravirane natpisne pločice: „GRO AC — AGREGAT/ISPRAVLJAČI — BS SJEDNICA" i oznaku W012 „OPASAN NAPON" prema EN ISO 7010.</t>
  </si>
  <si>
    <t xml:space="preserve">5.7</t>
  </si>
  <si>
    <t xml:space="preserve">Uvezivanje kontrolera DEA sa Huawei kontrolno-upravljačkim sistemom (modul GIM01C1) i sa razvodnim ormarom signalizacije (ROS), te parametriranje kriterija automatskog starta po stanju napunjenosti baterija (SoC).</t>
  </si>
  <si>
    <t xml:space="preserve">5.8</t>
  </si>
  <si>
    <t xml:space="preserve">PROVJERA UZEMLJENJA I ELEKTRIČNIH INSTALACIJA sa izdavanjem stručnog nalaza ovlaštene kuće: mjerenje otpora uzemljenja i neprekidnosti zaštitnog vodiča, mjerenje otpora izolacije, ispitivanje zaštite od indirektnog dodira, provjera izjednačenja potencijala, funkcionalno ispitivanje automatskog starta DEA. Otpor uzemljenja mora zadovoljiti zahtjeve Projektnog zadatka.</t>
  </si>
  <si>
    <t xml:space="preserve">5.9</t>
  </si>
  <si>
    <t xml:space="preserve">Ostali sitni montažni i potrošni materijal.</t>
  </si>
  <si>
    <t xml:space="preserve">5.10</t>
  </si>
  <si>
    <t xml:space="preserve">Snimanje postojećeg stanja i prevezivanje postojećih strujnih krugova na novi GRO iz Tačke 5.6. Obuhvata:
 - snimanje i evidentiranje svih 7 postojećih strujnih krugova postojećeg razvoda, sa mjerenjem opterećenja i izradom jednopolne sheme zatečenog stanja
 - prevezivanje krugova na odgovarajuće izvode novog GRO, sa označavanjem
 - SIGNALNA RASVJETA antenskog stuba h=38 m (krug K7) izvodi se kao ZASEBAN NADZIRANI strujni krug, sa nadzorom prisustva napona i strujnim nadzorom ispravnosti svjetiljke, i dojavom ispada u sistem daljinskog nadzora — rasvjeta prepreke je trajno noćno opterećenje i ne smije biti isključena prilikom rekonfiguracije napajanja
 - Ponuđač mjeri stvarnu snagu rasvjete prepreke i dostavlja je Kupcu radi provjere energetskog bilansa (Prilog I, Tačka 1)
Komplet sa spojnim materijalom, oznakama, ispitivanjem i ažuriranom jednopolnom shemom izvedenog stanja.</t>
  </si>
  <si>
    <t xml:space="preserve">5.11</t>
  </si>
  <si>
    <t xml:space="preserve">Isporuka i ugradnja odvodnika prenapona za SIGNALNE i KOMUNIKACIONE VODOVE prema EN 61643-21: na signalnom kablu J-Y(ST)Y i na Ethernet vodu prema kontroleru agregata i sistemu daljinskog nadzora, na oba kraja dionice. Objekat ima vanjski sistem zaštite od munje i antenski stub h=38 m, pa je zaštita signalnih vodova obavezna prema EN 62305-4. Komplet sa nosačima, uzemljenjem odvodnika i ispitivanjem.</t>
  </si>
  <si>
    <t xml:space="preserve">5.12</t>
  </si>
  <si>
    <t xml:space="preserve">Isporuka i polaganje DC solarnog kabla 1×6 mm² (H1Z2Z2-K) od fotonaponskih panela do PVDB distribucije, uključujući MC4 konektore, obujmice i UV-otporne kanalice. NAPOMENA: završni priključak na ulaznu stezaljku iSSU modula izvesti presjekom 4 mm² prema izričitom zahtjevu proizvođača. Pad napona pri Imp 13,67 A i dužini 25 m iznosi 0,78 %. 2 stringa × 2 × 25,00 m</t>
  </si>
  <si>
    <t xml:space="preserve">5.13</t>
  </si>
  <si>
    <t xml:space="preserve">Isporuka i ugradnja odvodnika prenapona DC, tip 2 (Iimp ≥5 kA, Ucpv ≥425 V), ZA SVAKI STRING, sa pripadajućim rastavnim osiguračima, u PVDB ormaru koji obezbjeđuje Kupac ili u zasebnom kućištu min. IP55. Po jedan komplet po stringu (2 stringa × 6 modula, v. LOT 1, Tačka 1.1 i crtež E-01), zbog dužine DC trase od 25 m.</t>
  </si>
  <si>
    <t xml:space="preserve">5.14</t>
  </si>
  <si>
    <t xml:space="preserve">Montaža fotonaponskih panela na nosive konstrukcije iz LOT 1 i njihovo DC povezivanje u stringove, sa svim pripadajućim priborom za pričvršćenje, vođenjem i označavanjem kablova.
 - 12 modula 585 Wp na 3 nosača (po 4 modula), spoj u 2 stringa × 6 modula
 - DC veze: string 1 → PVDB → iSSU 1;  string 2 → PVDB → iSSU 2
 - GRO, sekcija SOLAR → Huawei iSSU
NAPOMENA: fotonaponske panele, PVDB i ostalu opremu hibridnog sistema obezbjeđuje Kupac (posebna nabavka). Ponuđač izvodi montažu, povezivanje, označavanje i ispitivanje.</t>
  </si>
  <si>
    <t xml:space="preserve">UKUPNO 5 — ELEKTROMONTAŽNI RADOVI:</t>
  </si>
  <si>
    <t xml:space="preserve">PUŠTANJE U RAD, OBUKA I DOKUMENTACIJA (DO POTPUNE GOTOVOSTI)</t>
  </si>
  <si>
    <t xml:space="preserve">6.1</t>
  </si>
  <si>
    <t xml:space="preserve">Puštanje u rad kompletnog sistema, funkcionalno testiranje automatskog starta DEA po kriteriju stanja baterija, testiranje prelaska izvora i 72-satni probni rad sa zapisom parametara.</t>
  </si>
  <si>
    <t xml:space="preserve">6.2</t>
  </si>
  <si>
    <t xml:space="preserve">Uvezivanje kontrolera DEA u krovni sistem nadzora i upravljanja BH Telecom-a (SCADA — Ignition), sa isporukom licenciranog softverskog paketa, instalacijom u nadzornom centru, uvezivanjem do najbližeg switcha i testiranjem prosljeđivanja alarma.</t>
  </si>
  <si>
    <t xml:space="preserve">6.3</t>
  </si>
  <si>
    <t xml:space="preserve">Obuka osoblja Investitora (do 4 osobe) za rukovanje i osnovno održavanje sistema, u trajanju od min. 1 radnog dana.</t>
  </si>
  <si>
    <t xml:space="preserve">6.4</t>
  </si>
  <si>
    <t xml:space="preserve">Izrada dokumentacije izvedenog stanja za kompletan LOT 2 (elektro, mašinski i građevinski dio), u 3 štampana primjerka i u elektronskoj formi (PDF + izvorni DWG/DOCX).</t>
  </si>
  <si>
    <t xml:space="preserve">UKUPNO 6 — PUŠTANJE U RAD, OBUKA I DOKUMENTACIJA:</t>
  </si>
  <si>
    <t xml:space="preserve">UKUPNO LOT 2 — DEA U POSTOJEĆEM KONTEJNERU (bez PDV-a):</t>
  </si>
  <si>
    <t xml:space="preserve">REKAPITULACIJA</t>
  </si>
  <si>
    <t xml:space="preserve">SVE UKUPNO (LOT 1 + LOT 2) bez PDV-a [KM]:</t>
  </si>
  <si>
    <t xml:space="preserve">Popust [%]:</t>
  </si>
  <si>
    <t xml:space="preserve">SVE UKUPNO sa popustom bez PDV-a [KM]:</t>
  </si>
  <si>
    <t xml:space="preserve">Iznos PDV-a (17%) [KM]:</t>
  </si>
  <si>
    <t xml:space="preserve">SVE UKUPNO sa popustom i PDV-om [KM]:</t>
  </si>
  <si>
    <t xml:space="preserve">NAPOMENA:</t>
  </si>
  <si>
    <t xml:space="preserve">- Nabavka je podijeljena na dva LOT-a. Ponuđač može dostaviti ponudu za JEDAN ili OBA LOT-a. Ugovor se dodjeljuje po LOT-u, prema kriteriju najniže cijene tehnički zadovoljavajuće ponude.</t>
  </si>
  <si>
    <t xml:space="preserve">- Procijenjena vrijednost nabavke: LOT 1 = 15.000,00 KM, LOT 2 = 34.000,00 KM, UKUPNO 49.000,00 KM bez PDV-a.</t>
  </si>
  <si>
    <t xml:space="preserve">- Ugovorne obaveze nastaju po upućivanju pismenog zahtjeva/narudžbe od strane BH Telecom-a.</t>
  </si>
  <si>
    <t xml:space="preserve">- Količine u Tačkama 2. i 5. su orijentacione i utvrđene na osnovu podataka iz RFI dokumente. Konačne količine utvrđuju se elaboratom montaže i geodetskim snimkom, a obračunavaju se po stvarno izvedenim količinama.</t>
  </si>
  <si>
    <t xml:space="preserve">- LOT 2 obuhvata montažu i uvezivanje sistema DO POTPUNE GOTOVOSTI.</t>
  </si>
  <si>
    <t xml:space="preserve">- Orijentaciona potrošnja goriva agregata 18 kVA pri opterećenju od 75 % iznosi 3,7 l/h prema tehničkom listu referentnog agregata FG Wilson P18-6 (50 Hz standby). Pri projektovanom godišnjem radu do 250 h (standby režim prema ISO 8528) to iznosi cca 925 l godišnje, odnosno spremnik od 500 l obezbjeđuje cca 135 h rada, tj. autonomiju od cca 6–7 mjeseci između dopunjavanja. Ponuđač je dužan dostaviti stvarne podatke o potrošnji za ponuđeni tip DEA.</t>
  </si>
  <si>
    <t xml:space="preserve">- Grafički prilozi (situacija postojećeg i budućeg stanja, presjek, dispozicija opreme) dati su u PRILOGU III tenderske dokumentacije.</t>
  </si>
  <si>
    <t xml:space="preserve">Datum:  ___________________________</t>
  </si>
  <si>
    <t xml:space="preserve">Potpis i pečat Ponuđača:  ___________________________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</si>
</sst>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KM&quot;"/>
    <numFmt numFmtId="166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  <charset val="238"/>
    </font>
    <font>
      <sz val="11"/>
      <name val="Arial"/>
      <family val="2"/>
      <charset val="238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9"/>
      <name val="Arial"/>
      <family val="2"/>
      <charset val="238"/>
    </font>
    <font>
      <b val="true"/>
      <sz val="10"/>
      <name val="Arial"/>
      <family val="2"/>
      <charset val="238"/>
    </font>
    <font>
      <b val="true"/>
      <sz val="10"/>
      <name val="Cambria"/>
      <family val="0"/>
      <charset val="1"/>
    </font>
    <font>
      <sz val="10"/>
      <name val="Cambria"/>
      <family val="0"/>
      <charset val="1"/>
    </font>
    <font>
      <i val="true"/>
      <sz val="9"/>
      <name val="Arial"/>
      <family val="2"/>
      <charset val="238"/>
    </font>
    <font>
      <b val="true"/>
      <sz val="9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E8E8E8"/>
        <bgColor rgb="FFEBF1DE"/>
      </patternFill>
    </fill>
    <fill>
      <patternFill patternType="solid">
        <fgColor theme="6" tint="0.7999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E8E8E8"/>
      </patternFill>
    </fill>
    <fill>
      <patternFill patternType="solid">
        <fgColor rgb="FFDCEEDC"/>
        <bgColor rgb="FFEBF1DE"/>
      </patternFill>
    </fill>
    <fill>
      <patternFill patternType="solid">
        <fgColor rgb="FFF8DEDE"/>
        <bgColor rgb="FFE8E8E8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/>
      <right style="thin">
        <color rgb="FF808080"/>
      </right>
      <top style="thin"/>
      <bottom/>
      <diagonal/>
    </border>
    <border diagonalUp="false" diagonalDown="false">
      <left style="thin">
        <color rgb="FF808080"/>
      </left>
      <right style="thin">
        <color rgb="FF808080"/>
      </right>
      <top style="thin"/>
      <bottom/>
      <diagonal/>
    </border>
    <border diagonalUp="false" diagonalDown="false">
      <left style="thin">
        <color rgb="FF808080"/>
      </left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>
        <color rgb="FF808080"/>
      </right>
      <top style="thin"/>
      <bottom style="thin"/>
      <diagonal/>
    </border>
    <border diagonalUp="false" diagonalDown="false">
      <left/>
      <right style="thin">
        <color rgb="FF808080"/>
      </right>
      <top style="thin"/>
      <bottom style="thin"/>
      <diagonal/>
    </border>
    <border diagonalUp="false" diagonalDown="false">
      <left style="thin">
        <color rgb="FF808080"/>
      </left>
      <right style="thin"/>
      <top/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 style="thin">
        <color rgb="FF808080"/>
      </top>
      <bottom style="thin">
        <color rgb="FF808080"/>
      </bottom>
      <diagonal/>
    </border>
    <border diagonalUp="false" diagonalDown="false">
      <left/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/>
      <bottom style="thin"/>
      <diagonal/>
    </border>
    <border diagonalUp="false" diagonalDown="false">
      <left style="thin">
        <color rgb="FF808080"/>
      </left>
      <right style="thin"/>
      <top style="thin"/>
      <bottom style="thin"/>
      <diagonal/>
    </border>
    <border diagonalUp="false" diagonalDown="false">
      <left style="thin">
        <color rgb="FF808080"/>
      </left>
      <right/>
      <top style="thin"/>
      <bottom style="thin">
        <color rgb="FF808080"/>
      </bottom>
      <diagonal/>
    </border>
    <border diagonalUp="false" diagonalDown="false">
      <left/>
      <right/>
      <top style="thin"/>
      <bottom style="thin">
        <color rgb="FF808080"/>
      </bottom>
      <diagonal/>
    </border>
    <border diagonalUp="false" diagonalDown="false">
      <left/>
      <right style="thin">
        <color rgb="FF808080"/>
      </right>
      <top style="thin"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EDC"/>
      <rgbColor rgb="FFFFFF99"/>
      <rgbColor rgb="FF99CCFF"/>
      <rgbColor rgb="FFFF99CC"/>
      <rgbColor rgb="FFCC99FF"/>
      <rgbColor rgb="FFF8DED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72.14"/>
    <col collapsed="false" customWidth="true" hidden="false" outlineLevel="0" max="3" min="3" style="0" width="6.43"/>
    <col collapsed="false" customWidth="true" hidden="false" outlineLevel="0" max="4" min="4" style="0" width="7.42"/>
    <col collapsed="false" customWidth="true" hidden="false" outlineLevel="0" max="5" min="5" style="0" width="12.42"/>
    <col collapsed="false" customWidth="true" hidden="false" outlineLevel="0" max="6" min="6" style="0" width="14.2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8" customFormat="false" ht="15" hidden="false" customHeight="false" outlineLevel="0" collapsed="false">
      <c r="A8" s="4" t="s">
        <v>5</v>
      </c>
      <c r="B8" s="5" t="s">
        <v>6</v>
      </c>
      <c r="C8" s="6" t="s">
        <v>7</v>
      </c>
      <c r="D8" s="6" t="s">
        <v>8</v>
      </c>
      <c r="E8" s="6" t="s">
        <v>9</v>
      </c>
      <c r="F8" s="7" t="s">
        <v>10</v>
      </c>
    </row>
    <row r="9" customFormat="false" ht="24" hidden="false" customHeight="true" outlineLevel="0" collapsed="false">
      <c r="A9" s="8" t="s">
        <v>11</v>
      </c>
      <c r="B9" s="9" t="s">
        <v>12</v>
      </c>
      <c r="C9" s="8" t="s">
        <v>13</v>
      </c>
      <c r="D9" s="8" t="s">
        <v>14</v>
      </c>
      <c r="E9" s="8" t="s">
        <v>15</v>
      </c>
      <c r="F9" s="8" t="s">
        <v>16</v>
      </c>
    </row>
    <row r="10" customFormat="false" ht="15" hidden="false" customHeight="false" outlineLevel="0" collapsed="false">
      <c r="A10" s="10"/>
      <c r="B10" s="11" t="s">
        <v>17</v>
      </c>
      <c r="C10" s="12"/>
      <c r="D10" s="12"/>
      <c r="E10" s="13"/>
      <c r="F10" s="14"/>
    </row>
    <row r="11" customFormat="false" ht="15" hidden="false" customHeight="false" outlineLevel="0" collapsed="false">
      <c r="A11" s="15" t="s">
        <v>5</v>
      </c>
      <c r="B11" s="16" t="s">
        <v>18</v>
      </c>
      <c r="C11" s="17"/>
      <c r="D11" s="17"/>
      <c r="E11" s="17"/>
      <c r="F11" s="18"/>
    </row>
    <row r="12" customFormat="false" ht="24" hidden="false" customHeight="true" outlineLevel="0" collapsed="false">
      <c r="A12" s="19" t="s">
        <v>19</v>
      </c>
      <c r="B12" s="20" t="s">
        <v>20</v>
      </c>
      <c r="C12" s="21" t="s">
        <v>21</v>
      </c>
      <c r="D12" s="21" t="n">
        <v>3</v>
      </c>
      <c r="E12" s="22"/>
      <c r="F12" s="22" t="str">
        <f aca="false">IF(AND(D12&lt;&gt;"",E12&lt;&gt;""),D12*E12,"")</f>
        <v/>
      </c>
    </row>
    <row r="13" customFormat="false" ht="158.2" hidden="false" customHeight="false" outlineLevel="0" collapsed="false">
      <c r="A13" s="19" t="s">
        <v>22</v>
      </c>
      <c r="B13" s="20" t="s">
        <v>23</v>
      </c>
      <c r="C13" s="21" t="s">
        <v>21</v>
      </c>
      <c r="D13" s="21" t="n">
        <v>3</v>
      </c>
      <c r="E13" s="22"/>
      <c r="F13" s="22" t="str">
        <f aca="false">IF(AND(D13&lt;&gt;"",E13&lt;&gt;""),D13*E13,"")</f>
        <v/>
      </c>
    </row>
    <row r="14" customFormat="false" ht="95.5" hidden="false" customHeight="false" outlineLevel="0" collapsed="false">
      <c r="A14" s="23" t="s">
        <v>24</v>
      </c>
      <c r="B14" s="24" t="s">
        <v>25</v>
      </c>
      <c r="C14" s="25" t="s">
        <v>21</v>
      </c>
      <c r="D14" s="25" t="n">
        <v>1</v>
      </c>
      <c r="E14" s="26"/>
      <c r="F14" s="26" t="str">
        <f aca="false">IF(AND(D14&lt;&gt;"",E14&lt;&gt;""),D14*E14,"")</f>
        <v/>
      </c>
    </row>
    <row r="15" customFormat="false" ht="64.15" hidden="false" customHeight="false" outlineLevel="0" collapsed="false">
      <c r="A15" s="23" t="s">
        <v>26</v>
      </c>
      <c r="B15" s="24" t="s">
        <v>27</v>
      </c>
      <c r="C15" s="25" t="s">
        <v>21</v>
      </c>
      <c r="D15" s="25" t="n">
        <v>3</v>
      </c>
      <c r="E15" s="26"/>
      <c r="F15" s="26" t="str">
        <f aca="false">IF(AND(D15&lt;&gt;"",E15&lt;&gt;""),D15*E15,"")</f>
        <v/>
      </c>
    </row>
    <row r="16" customFormat="false" ht="22.35" hidden="false" customHeight="false" outlineLevel="0" collapsed="false">
      <c r="A16" s="23" t="s">
        <v>28</v>
      </c>
      <c r="B16" s="27" t="s">
        <v>29</v>
      </c>
      <c r="C16" s="25" t="s">
        <v>21</v>
      </c>
      <c r="D16" s="25" t="n">
        <v>1</v>
      </c>
      <c r="E16" s="26"/>
      <c r="F16" s="26" t="str">
        <f aca="false">IF(AND(D16&lt;&gt;"",E16&lt;&gt;""),D16*E16,"")</f>
        <v/>
      </c>
    </row>
    <row r="17" customFormat="false" ht="24" hidden="false" customHeight="true" outlineLevel="0" collapsed="false">
      <c r="A17" s="23"/>
      <c r="B17" s="28"/>
      <c r="F17" s="26"/>
    </row>
    <row r="18" customFormat="false" ht="24" hidden="false" customHeight="true" outlineLevel="0" collapsed="false">
      <c r="A18" s="29" t="s">
        <v>30</v>
      </c>
      <c r="B18" s="30"/>
      <c r="C18" s="30"/>
      <c r="D18" s="30"/>
      <c r="E18" s="31"/>
      <c r="F18" s="32" t="n">
        <f aca="false">SUM(F12:F17)</f>
        <v>0</v>
      </c>
    </row>
    <row r="19" customFormat="false" ht="24" hidden="false" customHeight="true" outlineLevel="0" collapsed="false">
      <c r="A19" s="33" t="s">
        <v>6</v>
      </c>
      <c r="B19" s="34" t="s">
        <v>31</v>
      </c>
      <c r="C19" s="35"/>
      <c r="D19" s="35"/>
      <c r="E19" s="35"/>
      <c r="F19" s="35"/>
    </row>
    <row r="20" customFormat="false" ht="24" hidden="false" customHeight="true" outlineLevel="0" collapsed="false">
      <c r="A20" s="36" t="s">
        <v>32</v>
      </c>
      <c r="B20" s="37" t="s">
        <v>33</v>
      </c>
      <c r="C20" s="38" t="s">
        <v>34</v>
      </c>
      <c r="D20" s="38" t="n">
        <v>9.54</v>
      </c>
      <c r="E20" s="39"/>
      <c r="F20" s="39" t="str">
        <f aca="false">IF(AND(D20&lt;&gt;"",E20&lt;&gt;""),D20*E20,"")</f>
        <v/>
      </c>
    </row>
    <row r="21" customFormat="false" ht="15" hidden="false" customHeight="false" outlineLevel="0" collapsed="false">
      <c r="A21" s="36" t="s">
        <v>35</v>
      </c>
      <c r="B21" s="40" t="s">
        <v>36</v>
      </c>
      <c r="C21" s="38" t="s">
        <v>34</v>
      </c>
      <c r="D21" s="38" t="n">
        <v>6.6</v>
      </c>
      <c r="E21" s="39"/>
      <c r="F21" s="39" t="str">
        <f aca="false">IF(AND(D21&lt;&gt;"",E21&lt;&gt;""),D21*E21,"")</f>
        <v/>
      </c>
    </row>
    <row r="22" customFormat="false" ht="15" hidden="false" customHeight="false" outlineLevel="0" collapsed="false">
      <c r="A22" s="36" t="s">
        <v>37</v>
      </c>
      <c r="B22" s="37" t="s">
        <v>38</v>
      </c>
      <c r="C22" s="38" t="s">
        <v>34</v>
      </c>
      <c r="D22" s="38" t="n">
        <v>2.94</v>
      </c>
      <c r="E22" s="39"/>
      <c r="F22" s="39" t="str">
        <f aca="false">IF(AND(D22&lt;&gt;"",E22&lt;&gt;""),D22*E22,"")</f>
        <v/>
      </c>
    </row>
    <row r="23" customFormat="false" ht="22.35" hidden="false" customHeight="false" outlineLevel="0" collapsed="false">
      <c r="A23" s="36" t="s">
        <v>39</v>
      </c>
      <c r="B23" s="37" t="s">
        <v>40</v>
      </c>
      <c r="C23" s="38" t="s">
        <v>34</v>
      </c>
      <c r="D23" s="38" t="n">
        <v>0.56</v>
      </c>
      <c r="E23" s="39"/>
      <c r="F23" s="39" t="str">
        <f aca="false">IF(AND(D23&lt;&gt;"",E23&lt;&gt;""),D23*E23,"")</f>
        <v/>
      </c>
    </row>
    <row r="24" customFormat="false" ht="105.95" hidden="false" customHeight="false" outlineLevel="0" collapsed="false">
      <c r="A24" s="36" t="s">
        <v>41</v>
      </c>
      <c r="B24" s="37" t="s">
        <v>42</v>
      </c>
      <c r="C24" s="38" t="s">
        <v>34</v>
      </c>
      <c r="D24" s="38" t="n">
        <v>2.44</v>
      </c>
      <c r="E24" s="39"/>
      <c r="F24" s="39" t="str">
        <f aca="false">IF(AND(D24&lt;&gt;"",E24&lt;&gt;""),D24*E24,"")</f>
        <v/>
      </c>
    </row>
    <row r="25" customFormat="false" ht="23.85" hidden="false" customHeight="false" outlineLevel="0" collapsed="false">
      <c r="A25" s="36" t="s">
        <v>43</v>
      </c>
      <c r="B25" s="41" t="s">
        <v>44</v>
      </c>
      <c r="C25" s="42" t="s">
        <v>45</v>
      </c>
      <c r="D25" s="42" t="n">
        <v>12</v>
      </c>
      <c r="F25" s="39" t="str">
        <f aca="false">IF(AND(D25&lt;&gt;"",E25&lt;&gt;""),D25*E25,"")</f>
        <v/>
      </c>
    </row>
    <row r="26" customFormat="false" ht="15" hidden="false" customHeight="false" outlineLevel="0" collapsed="false">
      <c r="A26" s="36" t="s">
        <v>46</v>
      </c>
      <c r="B26" s="40" t="s">
        <v>47</v>
      </c>
      <c r="C26" s="38" t="s">
        <v>48</v>
      </c>
      <c r="D26" s="38" t="n">
        <v>1</v>
      </c>
      <c r="E26" s="39"/>
      <c r="F26" s="39" t="str">
        <f aca="false">IF(AND(D26&lt;&gt;"",E26&lt;&gt;""),D26*E26,"")</f>
        <v/>
      </c>
    </row>
    <row r="27" customFormat="false" ht="15" hidden="false" customHeight="false" outlineLevel="0" collapsed="false">
      <c r="A27" s="43"/>
      <c r="B27" s="43" t="s">
        <v>49</v>
      </c>
      <c r="C27" s="44"/>
      <c r="D27" s="44"/>
      <c r="E27" s="45"/>
      <c r="F27" s="46" t="n">
        <f aca="false">SUM(F20:F26)</f>
        <v>0</v>
      </c>
    </row>
    <row r="28" customFormat="false" ht="24" hidden="false" customHeight="true" outlineLevel="0" collapsed="false"/>
    <row r="29" customFormat="false" ht="15" hidden="false" customHeight="false" outlineLevel="0" collapsed="false">
      <c r="A29" s="47"/>
      <c r="B29" s="47" t="s">
        <v>50</v>
      </c>
      <c r="C29" s="44"/>
      <c r="D29" s="45"/>
      <c r="E29" s="45"/>
      <c r="F29" s="48" t="n">
        <f aca="false">F18+F27</f>
        <v>0</v>
      </c>
    </row>
    <row r="30" customFormat="false" ht="24" hidden="false" customHeight="true" outlineLevel="0" collapsed="false"/>
    <row r="31" customFormat="false" ht="36" hidden="false" customHeight="true" outlineLevel="0" collapsed="false">
      <c r="A31" s="49"/>
      <c r="B31" s="49" t="s">
        <v>51</v>
      </c>
      <c r="C31" s="30"/>
      <c r="D31" s="30"/>
      <c r="E31" s="50"/>
      <c r="F31" s="51"/>
    </row>
    <row r="32" customFormat="false" ht="36" hidden="false" customHeight="true" outlineLevel="0" collapsed="false">
      <c r="A32" s="52"/>
      <c r="B32" s="52" t="s">
        <v>52</v>
      </c>
      <c r="C32" s="30"/>
      <c r="D32" s="30"/>
      <c r="E32" s="50"/>
      <c r="F32" s="53" t="n">
        <f aca="false">F29</f>
        <v>0</v>
      </c>
    </row>
    <row r="33" customFormat="false" ht="24" hidden="false" customHeight="true" outlineLevel="0" collapsed="false">
      <c r="A33" s="52"/>
      <c r="B33" s="52" t="s">
        <v>53</v>
      </c>
      <c r="C33" s="30"/>
      <c r="D33" s="30"/>
      <c r="E33" s="50"/>
      <c r="F33" s="53"/>
    </row>
    <row r="34" customFormat="false" ht="24" hidden="false" customHeight="true" outlineLevel="0" collapsed="false">
      <c r="A34" s="52"/>
      <c r="B34" s="52" t="s">
        <v>54</v>
      </c>
      <c r="C34" s="30"/>
      <c r="D34" s="30"/>
      <c r="E34" s="50"/>
      <c r="F34" s="53" t="n">
        <f aca="false">F32*(1-IF(F33="",0,F33/100))</f>
        <v>0</v>
      </c>
    </row>
    <row r="35" customFormat="false" ht="15" hidden="false" customHeight="false" outlineLevel="0" collapsed="false">
      <c r="A35" s="52"/>
      <c r="B35" s="52" t="s">
        <v>55</v>
      </c>
      <c r="C35" s="30"/>
      <c r="D35" s="30"/>
      <c r="E35" s="50"/>
      <c r="F35" s="53" t="n">
        <f aca="false">F34*0.17</f>
        <v>0</v>
      </c>
    </row>
    <row r="36" customFormat="false" ht="15" hidden="false" customHeight="false" outlineLevel="0" collapsed="false">
      <c r="A36" s="49"/>
      <c r="B36" s="49" t="s">
        <v>56</v>
      </c>
      <c r="C36" s="30"/>
      <c r="D36" s="30"/>
      <c r="E36" s="50"/>
      <c r="F36" s="51" t="n">
        <f aca="false">F34+F35</f>
        <v>0</v>
      </c>
    </row>
    <row r="38" customFormat="false" ht="24" hidden="false" customHeight="true" outlineLevel="0" collapsed="false"/>
    <row r="39" customFormat="false" ht="24" hidden="false" customHeight="true" outlineLevel="0" collapsed="false"/>
    <row r="41" customFormat="false" ht="24" hidden="false" customHeight="true" outlineLevel="0" collapsed="false"/>
    <row r="42" customFormat="false" ht="156" hidden="false" customHeight="true" outlineLevel="0" collapsed="false"/>
    <row r="43" customFormat="false" ht="24" hidden="false" customHeight="true" outlineLevel="0" collapsed="false"/>
    <row r="47" customFormat="false" ht="15" hidden="false" customHeight="false" outlineLevel="0" collapsed="false">
      <c r="A47" s="54"/>
      <c r="B47" s="54"/>
      <c r="C47" s="54"/>
      <c r="D47" s="54"/>
      <c r="E47" s="54"/>
    </row>
    <row r="49" customFormat="false" ht="15" hidden="false" customHeight="false" outlineLevel="0" collapsed="false">
      <c r="A49" s="54"/>
      <c r="B49" s="54"/>
      <c r="C49" s="54"/>
      <c r="D49" s="54"/>
    </row>
    <row r="51" customFormat="false" ht="15" hidden="false" customHeight="false" outlineLevel="0" collapsed="false">
      <c r="A51" s="54"/>
      <c r="B51" s="54"/>
      <c r="C51" s="54"/>
      <c r="D51" s="54"/>
      <c r="E51" s="54"/>
    </row>
    <row r="52" customFormat="false" ht="15" hidden="false" customHeight="false" outlineLevel="0" collapsed="false">
      <c r="A52" s="54"/>
      <c r="B52" s="54"/>
      <c r="C52" s="54"/>
      <c r="D52" s="54"/>
      <c r="E52" s="54"/>
    </row>
    <row r="53" customFormat="false" ht="15" hidden="false" customHeight="false" outlineLevel="0" collapsed="false">
      <c r="A53" s="54"/>
      <c r="B53" s="54"/>
      <c r="C53" s="54"/>
      <c r="D53" s="54"/>
      <c r="E53" s="54"/>
    </row>
    <row r="54" customFormat="false" ht="15" hidden="false" customHeight="false" outlineLevel="0" collapsed="false">
      <c r="A54" s="54"/>
      <c r="B54" s="54"/>
      <c r="C54" s="54"/>
      <c r="D54" s="54"/>
      <c r="E54" s="54"/>
    </row>
    <row r="55" customFormat="false" ht="24" hidden="false" customHeight="true" outlineLevel="0" collapsed="false">
      <c r="A55" s="54"/>
      <c r="B55" s="54"/>
      <c r="C55" s="54"/>
      <c r="D55" s="54"/>
      <c r="E55" s="54"/>
    </row>
    <row r="57" customFormat="false" ht="24" hidden="false" customHeight="true" outlineLevel="0" collapsed="false"/>
    <row r="81" customFormat="false" ht="24" hidden="false" customHeight="true" outlineLevel="0" collapsed="false"/>
    <row r="82" customFormat="false" ht="24" hidden="false" customHeight="true" outlineLevel="0" collapsed="false"/>
    <row r="84" customFormat="false" ht="24" hidden="false" customHeight="true" outlineLevel="0" collapsed="false"/>
    <row r="88" customFormat="false" ht="24" hidden="false" customHeight="true" outlineLevel="0" collapsed="false"/>
    <row r="89" customFormat="false" ht="36" hidden="false" customHeight="true" outlineLevel="0" collapsed="false"/>
    <row r="99" customFormat="false" ht="24" hidden="false" customHeight="true" outlineLevel="0" collapsed="false"/>
    <row r="100" customFormat="false" ht="24" hidden="false" customHeight="true" outlineLevel="0" collapsed="false"/>
    <row r="101" customFormat="false" ht="24" hidden="false" customHeight="true" outlineLevel="0" collapsed="false"/>
    <row r="105" customFormat="false" ht="24" hidden="false" customHeight="true" outlineLevel="0" collapsed="false"/>
    <row r="106" customFormat="false" ht="24" hidden="false" customHeight="true" outlineLevel="0" collapsed="false"/>
    <row r="108" customFormat="false" ht="24" hidden="false" customHeight="true" outlineLevel="0" collapsed="false"/>
    <row r="110" customFormat="false" ht="24" hidden="false" customHeight="true" outlineLevel="0" collapsed="false"/>
    <row r="112" customFormat="false" ht="24" hidden="false" customHeight="true" outlineLevel="0" collapsed="false"/>
    <row r="115" customFormat="false" ht="36" hidden="false" customHeight="true" outlineLevel="0" collapsed="false"/>
    <row r="116" customFormat="false" ht="24" hidden="false" customHeight="true" outlineLevel="0" collapsed="false"/>
    <row r="117" customFormat="false" ht="84" hidden="false" customHeight="true" outlineLevel="0" collapsed="false"/>
    <row r="118" customFormat="false" ht="24" hidden="false" customHeight="true" outlineLevel="0" collapsed="false"/>
    <row r="119" customFormat="false" ht="24" hidden="false" customHeight="true" outlineLevel="0" collapsed="false"/>
    <row r="120" customFormat="false" ht="24" hidden="false" customHeight="true" outlineLevel="0" collapsed="false"/>
    <row r="121" customFormat="false" ht="24" hidden="false" customHeight="true" outlineLevel="0" collapsed="false"/>
    <row r="122" customFormat="false" ht="48" hidden="false" customHeight="true" outlineLevel="0" collapsed="false"/>
    <row r="124" customFormat="false" ht="36" hidden="false" customHeight="true" outlineLevel="0" collapsed="false"/>
    <row r="126" customFormat="false" ht="24" hidden="false" customHeight="true" outlineLevel="0" collapsed="false"/>
    <row r="127" customFormat="false" ht="24" hidden="false" customHeight="true" outlineLevel="0" collapsed="false"/>
    <row r="128" customFormat="false" ht="48" hidden="false" customHeight="true" outlineLevel="0" collapsed="false"/>
    <row r="129" customFormat="false" ht="24" hidden="false" customHeight="true" outlineLevel="0" collapsed="false"/>
    <row r="131" customFormat="false" ht="36" hidden="false" customHeight="true" outlineLevel="0" collapsed="false"/>
    <row r="135" customFormat="false" ht="24" hidden="false" customHeight="true" outlineLevel="0" collapsed="false"/>
    <row r="136" customFormat="false" ht="24" hidden="false" customHeight="true" outlineLevel="0" collapsed="false"/>
    <row r="137" customFormat="false" ht="36" hidden="false" customHeight="true" outlineLevel="0" collapsed="false"/>
    <row r="138" customFormat="false" ht="24" hidden="false" customHeight="true" outlineLevel="0" collapsed="false"/>
    <row r="143" customFormat="false" ht="36" hidden="false" customHeight="true" outlineLevel="0" collapsed="false"/>
    <row r="144" customFormat="false" ht="36" hidden="false" customHeight="true" outlineLevel="0" collapsed="false"/>
    <row r="145" customFormat="false" ht="36" hidden="false" customHeight="true" outlineLevel="0" collapsed="false"/>
    <row r="147" customFormat="false" ht="24" hidden="false" customHeight="true" outlineLevel="0" collapsed="false"/>
    <row r="148" customFormat="false" ht="24" hidden="false" customHeight="true" outlineLevel="0" collapsed="false"/>
    <row r="150" customFormat="false" ht="24" hidden="false" customHeight="true" outlineLevel="0" collapsed="false"/>
    <row r="156" customFormat="false" ht="48" hidden="false" customHeight="true" outlineLevel="0" collapsed="false"/>
    <row r="157" customFormat="false" ht="24" hidden="false" customHeight="true" outlineLevel="0" collapsed="false"/>
    <row r="158" customFormat="false" ht="48" hidden="false" customHeight="true" outlineLevel="0" collapsed="false"/>
    <row r="163" customFormat="false" ht="36" hidden="false" customHeight="true" outlineLevel="0" collapsed="false"/>
    <row r="164" customFormat="false" ht="24" hidden="false" customHeight="true" outlineLevel="0" collapsed="false"/>
    <row r="165" customFormat="false" ht="36" hidden="false" customHeight="true" outlineLevel="0" collapsed="false"/>
    <row r="167" customFormat="false" ht="24" hidden="false" customHeight="tru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A2:F2"/>
    <mergeCell ref="A3:F3"/>
    <mergeCell ref="A47:E47"/>
    <mergeCell ref="A49:D49"/>
    <mergeCell ref="A51:E51"/>
    <mergeCell ref="A52:E52"/>
    <mergeCell ref="A53:E53"/>
    <mergeCell ref="A54:E54"/>
    <mergeCell ref="A55:E55"/>
  </mergeCells>
  <printOptions headings="false" gridLines="false" gridLinesSet="true" horizontalCentered="true" verticalCentered="false"/>
  <pageMargins left="0.75" right="0.75" top="1" bottom="1" header="0.5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&amp;R&amp;"Times New Roman,Regular"&amp;12 &amp;"Arial,Regular"&amp;10 [BH Telecom | &amp;"Arial,Bold"Interno&amp;"Arial,Regular"]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47" colorId="64" zoomScale="130" zoomScaleNormal="130" zoomScalePageLayoutView="100" workbookViewId="0">
      <selection pane="topLeft" activeCell="B61" activeCellId="0" sqref="B6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111.71"/>
    <col collapsed="false" customWidth="true" hidden="false" outlineLevel="0" max="3" min="3" style="0" width="6.43"/>
    <col collapsed="false" customWidth="true" hidden="false" outlineLevel="0" max="4" min="4" style="0" width="7.42"/>
    <col collapsed="false" customWidth="true" hidden="false" outlineLevel="0" max="5" min="5" style="0" width="18.71"/>
    <col collapsed="false" customWidth="true" hidden="false" outlineLevel="0" max="6" min="6" style="0" width="1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57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58</v>
      </c>
      <c r="B3" s="2"/>
      <c r="C3" s="2"/>
      <c r="D3" s="2"/>
      <c r="E3" s="2"/>
      <c r="F3" s="2"/>
    </row>
    <row r="5" customFormat="false" ht="15" hidden="false" customHeight="false" outlineLevel="0" collapsed="false">
      <c r="B5" s="55" t="s">
        <v>3</v>
      </c>
    </row>
    <row r="6" customFormat="false" ht="15" hidden="false" customHeight="false" outlineLevel="0" collapsed="false">
      <c r="B6" s="55" t="s">
        <v>59</v>
      </c>
    </row>
    <row r="8" customFormat="false" ht="15" hidden="false" customHeight="false" outlineLevel="0" collapsed="false">
      <c r="A8" s="4" t="s">
        <v>5</v>
      </c>
      <c r="B8" s="5" t="s">
        <v>6</v>
      </c>
      <c r="C8" s="6" t="s">
        <v>7</v>
      </c>
      <c r="D8" s="6" t="s">
        <v>8</v>
      </c>
      <c r="E8" s="6" t="s">
        <v>9</v>
      </c>
      <c r="F8" s="7" t="s">
        <v>10</v>
      </c>
    </row>
    <row r="9" customFormat="false" ht="24" hidden="false" customHeight="true" outlineLevel="0" collapsed="false">
      <c r="A9" s="56" t="s">
        <v>11</v>
      </c>
      <c r="B9" s="57" t="s">
        <v>12</v>
      </c>
      <c r="C9" s="58" t="s">
        <v>13</v>
      </c>
      <c r="D9" s="58" t="s">
        <v>14</v>
      </c>
      <c r="E9" s="58" t="s">
        <v>15</v>
      </c>
      <c r="F9" s="59" t="s">
        <v>16</v>
      </c>
    </row>
    <row r="10" customFormat="false" ht="15" hidden="false" customHeight="false" outlineLevel="0" collapsed="false">
      <c r="A10" s="60"/>
      <c r="B10" s="60" t="s">
        <v>60</v>
      </c>
      <c r="C10" s="61"/>
      <c r="D10" s="61"/>
      <c r="E10" s="61"/>
      <c r="F10" s="62"/>
    </row>
    <row r="11" customFormat="false" ht="15" hidden="false" customHeight="false" outlineLevel="0" collapsed="false">
      <c r="A11" s="33" t="n">
        <v>1</v>
      </c>
      <c r="B11" s="34" t="s">
        <v>61</v>
      </c>
      <c r="C11" s="35"/>
      <c r="D11" s="35"/>
      <c r="E11" s="35"/>
      <c r="F11" s="35"/>
    </row>
    <row r="12" customFormat="false" ht="274.35" hidden="false" customHeight="false" outlineLevel="0" collapsed="false">
      <c r="A12" s="36" t="s">
        <v>62</v>
      </c>
      <c r="B12" s="63" t="s">
        <v>63</v>
      </c>
      <c r="C12" s="36"/>
      <c r="D12" s="36"/>
      <c r="E12" s="39"/>
      <c r="F12" s="39"/>
    </row>
    <row r="14" customFormat="false" ht="15" hidden="false" customHeight="false" outlineLevel="0" collapsed="false">
      <c r="A14" s="33" t="s">
        <v>8</v>
      </c>
      <c r="B14" s="34" t="s">
        <v>64</v>
      </c>
      <c r="C14" s="35"/>
      <c r="D14" s="35"/>
      <c r="E14" s="35"/>
      <c r="F14" s="35"/>
    </row>
    <row r="15" customFormat="false" ht="74.6" hidden="false" customHeight="false" outlineLevel="0" collapsed="false">
      <c r="A15" s="64"/>
      <c r="B15" s="65" t="s">
        <v>65</v>
      </c>
      <c r="C15" s="64"/>
      <c r="D15" s="64"/>
      <c r="E15" s="64"/>
      <c r="F15" s="64"/>
    </row>
    <row r="16" customFormat="false" ht="98.7" hidden="false" customHeight="false" outlineLevel="0" collapsed="false">
      <c r="A16" s="36" t="s">
        <v>66</v>
      </c>
      <c r="B16" s="63" t="s">
        <v>67</v>
      </c>
      <c r="C16" s="36" t="s">
        <v>21</v>
      </c>
      <c r="D16" s="36" t="n">
        <v>1</v>
      </c>
      <c r="E16" s="39"/>
      <c r="F16" s="39" t="str">
        <f aca="false">IF(AND(D16&lt;&gt;"",E16&lt;&gt;""),D16*E16,"")</f>
        <v/>
      </c>
    </row>
    <row r="17" customFormat="false" ht="147.75" hidden="false" customHeight="false" outlineLevel="0" collapsed="false">
      <c r="A17" s="36" t="s">
        <v>68</v>
      </c>
      <c r="B17" s="63" t="s">
        <v>69</v>
      </c>
      <c r="C17" s="36" t="s">
        <v>21</v>
      </c>
      <c r="D17" s="36" t="n">
        <v>1</v>
      </c>
      <c r="E17" s="39"/>
      <c r="F17" s="39" t="str">
        <f aca="false">IF(AND(D17&lt;&gt;"",E17&lt;&gt;""),D17*E17,"")</f>
        <v/>
      </c>
    </row>
    <row r="18" customFormat="false" ht="43.25" hidden="false" customHeight="false" outlineLevel="0" collapsed="false">
      <c r="A18" s="36" t="s">
        <v>70</v>
      </c>
      <c r="B18" s="63" t="s">
        <v>71</v>
      </c>
      <c r="C18" s="36" t="s">
        <v>21</v>
      </c>
      <c r="D18" s="36" t="n">
        <v>1</v>
      </c>
      <c r="E18" s="39"/>
      <c r="F18" s="39" t="str">
        <f aca="false">IF(AND(D18&lt;&gt;"",E18&lt;&gt;""),D18*E18,"")</f>
        <v/>
      </c>
    </row>
    <row r="19" customFormat="false" ht="22.35" hidden="false" customHeight="false" outlineLevel="0" collapsed="false">
      <c r="A19" s="36" t="s">
        <v>72</v>
      </c>
      <c r="B19" s="63" t="s">
        <v>73</v>
      </c>
      <c r="C19" s="36" t="s">
        <v>21</v>
      </c>
      <c r="D19" s="36" t="n">
        <v>1</v>
      </c>
      <c r="E19" s="39"/>
      <c r="F19" s="39" t="str">
        <f aca="false">IF(AND(D19&lt;&gt;"",E19&lt;&gt;""),D19*E19,"")</f>
        <v/>
      </c>
    </row>
    <row r="20" customFormat="false" ht="43.25" hidden="false" customHeight="false" outlineLevel="0" collapsed="false">
      <c r="A20" s="36" t="s">
        <v>74</v>
      </c>
      <c r="B20" s="63" t="s">
        <v>75</v>
      </c>
      <c r="C20" s="36" t="s">
        <v>21</v>
      </c>
      <c r="D20" s="36" t="n">
        <v>1</v>
      </c>
      <c r="E20" s="39"/>
      <c r="F20" s="39" t="str">
        <f aca="false">IF(AND(D20&lt;&gt;"",E20&lt;&gt;""),D20*E20,"")</f>
        <v/>
      </c>
    </row>
    <row r="21" customFormat="false" ht="43.25" hidden="false" customHeight="false" outlineLevel="0" collapsed="false">
      <c r="A21" s="36" t="s">
        <v>76</v>
      </c>
      <c r="B21" s="63" t="s">
        <v>77</v>
      </c>
      <c r="C21" s="36" t="s">
        <v>21</v>
      </c>
      <c r="D21" s="36" t="n">
        <v>1</v>
      </c>
      <c r="E21" s="39"/>
      <c r="F21" s="39" t="str">
        <f aca="false">IF(AND(D21&lt;&gt;"",E21&lt;&gt;""),D21*E21,"")</f>
        <v/>
      </c>
    </row>
    <row r="22" customFormat="false" ht="64.15" hidden="false" customHeight="false" outlineLevel="0" collapsed="false">
      <c r="A22" s="36" t="s">
        <v>78</v>
      </c>
      <c r="B22" s="63" t="s">
        <v>79</v>
      </c>
      <c r="C22" s="36" t="s">
        <v>21</v>
      </c>
      <c r="D22" s="36" t="n">
        <v>1</v>
      </c>
      <c r="E22" s="39"/>
      <c r="F22" s="39" t="str">
        <f aca="false">IF(AND(D22&lt;&gt;"",E22&lt;&gt;""),D22*E22,"")</f>
        <v/>
      </c>
    </row>
    <row r="23" customFormat="false" ht="49.9" hidden="false" customHeight="false" outlineLevel="0" collapsed="false">
      <c r="A23" s="36" t="s">
        <v>80</v>
      </c>
      <c r="B23" s="63" t="s">
        <v>81</v>
      </c>
      <c r="C23" s="36" t="s">
        <v>21</v>
      </c>
      <c r="D23" s="36" t="n">
        <v>1</v>
      </c>
      <c r="E23" s="39"/>
      <c r="F23" s="39" t="str">
        <f aca="false">IF(AND(D23&lt;&gt;"",E23&lt;&gt;""),D23*E23,"")</f>
        <v/>
      </c>
    </row>
    <row r="24" customFormat="false" ht="15" hidden="false" customHeight="false" outlineLevel="0" collapsed="false">
      <c r="A24" s="36" t="s">
        <v>82</v>
      </c>
      <c r="B24" s="63" t="s">
        <v>83</v>
      </c>
      <c r="C24" s="36" t="s">
        <v>21</v>
      </c>
      <c r="D24" s="36" t="n">
        <v>1</v>
      </c>
      <c r="E24" s="39"/>
      <c r="F24" s="39" t="str">
        <f aca="false">IF(AND(D24&lt;&gt;"",E24&lt;&gt;""),D24*E24,"")</f>
        <v/>
      </c>
    </row>
    <row r="25" customFormat="false" ht="59.7" hidden="false" customHeight="false" outlineLevel="0" collapsed="false">
      <c r="A25" s="36" t="s">
        <v>84</v>
      </c>
      <c r="B25" s="63" t="s">
        <v>85</v>
      </c>
      <c r="C25" s="36" t="s">
        <v>21</v>
      </c>
      <c r="D25" s="36" t="n">
        <v>1</v>
      </c>
      <c r="E25" s="39"/>
      <c r="F25" s="39" t="str">
        <f aca="false">IF(AND(D25&lt;&gt;"",E25&lt;&gt;""),D25*E25,"")</f>
        <v/>
      </c>
    </row>
    <row r="26" customFormat="false" ht="15" hidden="false" customHeight="false" outlineLevel="0" collapsed="false">
      <c r="A26" s="36" t="s">
        <v>86</v>
      </c>
      <c r="B26" s="63" t="s">
        <v>87</v>
      </c>
      <c r="C26" s="36" t="s">
        <v>21</v>
      </c>
      <c r="D26" s="36" t="n">
        <v>1</v>
      </c>
      <c r="E26" s="39"/>
      <c r="F26" s="39" t="str">
        <f aca="false">IF(AND(D26&lt;&gt;"",E26&lt;&gt;""),D26*E26,"")</f>
        <v/>
      </c>
    </row>
    <row r="27" customFormat="false" ht="15" hidden="false" customHeight="false" outlineLevel="0" collapsed="false">
      <c r="A27" s="36" t="s">
        <v>88</v>
      </c>
      <c r="B27" s="63" t="s">
        <v>89</v>
      </c>
      <c r="C27" s="36" t="s">
        <v>21</v>
      </c>
      <c r="D27" s="36" t="n">
        <v>1</v>
      </c>
      <c r="E27" s="39"/>
      <c r="F27" s="39" t="str">
        <f aca="false">IF(AND(D27&lt;&gt;"",E27&lt;&gt;""),D27*E27,"")</f>
        <v/>
      </c>
    </row>
    <row r="28" customFormat="false" ht="22.35" hidden="false" customHeight="false" outlineLevel="0" collapsed="false">
      <c r="A28" s="36" t="s">
        <v>90</v>
      </c>
      <c r="B28" s="63" t="s">
        <v>91</v>
      </c>
      <c r="C28" s="36" t="s">
        <v>21</v>
      </c>
      <c r="D28" s="36" t="n">
        <v>1</v>
      </c>
      <c r="E28" s="39"/>
      <c r="F28" s="39" t="str">
        <f aca="false">IF(AND(D28&lt;&gt;"",E28&lt;&gt;""),D28*E28,"")</f>
        <v/>
      </c>
    </row>
    <row r="29" customFormat="false" ht="32.8" hidden="false" customHeight="false" outlineLevel="0" collapsed="false">
      <c r="A29" s="36" t="s">
        <v>92</v>
      </c>
      <c r="B29" s="63" t="s">
        <v>93</v>
      </c>
      <c r="C29" s="36" t="s">
        <v>21</v>
      </c>
      <c r="D29" s="36" t="n">
        <v>1</v>
      </c>
      <c r="E29" s="39"/>
      <c r="F29" s="39" t="str">
        <f aca="false">IF(AND(D29&lt;&gt;"",E29&lt;&gt;""),D29*E29,"")</f>
        <v/>
      </c>
    </row>
    <row r="30" customFormat="false" ht="22.35" hidden="false" customHeight="false" outlineLevel="0" collapsed="false">
      <c r="A30" s="36" t="s">
        <v>94</v>
      </c>
      <c r="B30" s="63" t="s">
        <v>95</v>
      </c>
      <c r="C30" s="36" t="s">
        <v>96</v>
      </c>
      <c r="D30" s="36" t="n">
        <v>250</v>
      </c>
      <c r="E30" s="39"/>
      <c r="F30" s="39" t="str">
        <f aca="false">IF(AND(D30&lt;&gt;"",E30&lt;&gt;""),D30*E30,"")</f>
        <v/>
      </c>
    </row>
    <row r="31" customFormat="false" ht="15" hidden="false" customHeight="false" outlineLevel="0" collapsed="false">
      <c r="A31" s="36" t="s">
        <v>97</v>
      </c>
      <c r="B31" s="63" t="s">
        <v>98</v>
      </c>
      <c r="C31" s="36" t="s">
        <v>48</v>
      </c>
      <c r="D31" s="36" t="n">
        <v>1</v>
      </c>
      <c r="E31" s="39"/>
      <c r="F31" s="39" t="str">
        <f aca="false">IF(AND(D31&lt;&gt;"",E31&lt;&gt;""),D31*E31,"")</f>
        <v/>
      </c>
    </row>
    <row r="32" customFormat="false" ht="32.8" hidden="false" customHeight="false" outlineLevel="0" collapsed="false">
      <c r="A32" s="36" t="s">
        <v>99</v>
      </c>
      <c r="B32" s="63" t="s">
        <v>100</v>
      </c>
      <c r="C32" s="36" t="s">
        <v>21</v>
      </c>
      <c r="D32" s="36" t="n">
        <v>1</v>
      </c>
      <c r="E32" s="39"/>
      <c r="F32" s="39" t="str">
        <f aca="false">IF(AND(D32&lt;&gt;"",E32&lt;&gt;""),D32*E32,"")</f>
        <v/>
      </c>
    </row>
    <row r="33" customFormat="false" ht="15" hidden="false" customHeight="false" outlineLevel="0" collapsed="false">
      <c r="A33" s="36" t="s">
        <v>101</v>
      </c>
      <c r="B33" s="28" t="s">
        <v>102</v>
      </c>
      <c r="C33" s="0" t="s">
        <v>21</v>
      </c>
      <c r="D33" s="0" t="n">
        <v>1</v>
      </c>
      <c r="F33" s="39" t="str">
        <f aca="false">IF(AND(D33&lt;&gt;"",E33&lt;&gt;""),D33*E33,"")</f>
        <v/>
      </c>
    </row>
    <row r="34" customFormat="false" ht="32.8" hidden="false" customHeight="false" outlineLevel="0" collapsed="false">
      <c r="A34" s="36" t="s">
        <v>103</v>
      </c>
      <c r="B34" s="63" t="s">
        <v>104</v>
      </c>
      <c r="C34" s="36" t="s">
        <v>21</v>
      </c>
      <c r="D34" s="36" t="n">
        <v>1</v>
      </c>
      <c r="E34" s="39"/>
      <c r="F34" s="39" t="str">
        <f aca="false">IF(AND(D34&lt;&gt;"",E34&lt;&gt;""),D34*E34,"")</f>
        <v/>
      </c>
    </row>
    <row r="35" customFormat="false" ht="43.25" hidden="false" customHeight="false" outlineLevel="0" collapsed="false">
      <c r="A35" s="36" t="s">
        <v>105</v>
      </c>
      <c r="B35" s="63" t="s">
        <v>106</v>
      </c>
      <c r="C35" s="36" t="s">
        <v>21</v>
      </c>
      <c r="D35" s="36" t="n">
        <v>1</v>
      </c>
      <c r="E35" s="39"/>
      <c r="F35" s="39" t="str">
        <f aca="false">IF(AND(D35&lt;&gt;"",E35&lt;&gt;""),D35*E35,"")</f>
        <v/>
      </c>
    </row>
    <row r="36" customFormat="false" ht="15" hidden="false" customHeight="false" outlineLevel="0" collapsed="false">
      <c r="A36" s="66"/>
      <c r="B36" s="66" t="s">
        <v>107</v>
      </c>
      <c r="C36" s="44"/>
      <c r="D36" s="44"/>
      <c r="E36" s="45"/>
      <c r="F36" s="46" t="n">
        <f aca="false">SUM(F16:F35)</f>
        <v>0</v>
      </c>
    </row>
    <row r="38" customFormat="false" ht="15" hidden="false" customHeight="false" outlineLevel="0" collapsed="false">
      <c r="A38" s="33" t="s">
        <v>9</v>
      </c>
      <c r="B38" s="34" t="s">
        <v>108</v>
      </c>
      <c r="C38" s="35"/>
      <c r="D38" s="35"/>
      <c r="E38" s="35"/>
      <c r="F38" s="35"/>
    </row>
    <row r="39" customFormat="false" ht="22.35" hidden="false" customHeight="false" outlineLevel="0" collapsed="false">
      <c r="A39" s="36" t="s">
        <v>109</v>
      </c>
      <c r="B39" s="63" t="s">
        <v>110</v>
      </c>
      <c r="C39" s="36" t="s">
        <v>111</v>
      </c>
      <c r="D39" s="36" t="n">
        <v>30</v>
      </c>
      <c r="E39" s="39"/>
      <c r="F39" s="39" t="str">
        <f aca="false">IF(AND(D39&lt;&gt;"",E39&lt;&gt;""),D39*E39,"")</f>
        <v/>
      </c>
    </row>
    <row r="40" customFormat="false" ht="24" hidden="false" customHeight="true" outlineLevel="0" collapsed="false">
      <c r="A40" s="36" t="s">
        <v>112</v>
      </c>
      <c r="B40" s="63" t="s">
        <v>113</v>
      </c>
      <c r="C40" s="36" t="s">
        <v>114</v>
      </c>
      <c r="D40" s="36" t="n">
        <v>45</v>
      </c>
      <c r="E40" s="39"/>
      <c r="F40" s="39" t="str">
        <f aca="false">IF(AND(D40&lt;&gt;"",E40&lt;&gt;""),D40*E40,"")</f>
        <v/>
      </c>
    </row>
    <row r="41" customFormat="false" ht="32.8" hidden="false" customHeight="false" outlineLevel="0" collapsed="false">
      <c r="A41" s="36" t="s">
        <v>115</v>
      </c>
      <c r="B41" s="63" t="s">
        <v>116</v>
      </c>
      <c r="C41" s="36" t="s">
        <v>114</v>
      </c>
      <c r="D41" s="36" t="n">
        <v>40</v>
      </c>
      <c r="E41" s="39"/>
      <c r="F41" s="39" t="str">
        <f aca="false">IF(AND(D41&lt;&gt;"",E41&lt;&gt;""),D41*E41,"")</f>
        <v/>
      </c>
    </row>
    <row r="42" customFormat="false" ht="24" hidden="false" customHeight="true" outlineLevel="0" collapsed="false">
      <c r="A42" s="36" t="s">
        <v>117</v>
      </c>
      <c r="B42" s="63" t="s">
        <v>118</v>
      </c>
      <c r="C42" s="36" t="s">
        <v>119</v>
      </c>
      <c r="D42" s="36" t="n">
        <v>8</v>
      </c>
      <c r="E42" s="39"/>
      <c r="F42" s="39" t="str">
        <f aca="false">IF(AND(D42&lt;&gt;"",E42&lt;&gt;""),D42*E42,"")</f>
        <v/>
      </c>
    </row>
    <row r="43" customFormat="false" ht="74.6" hidden="false" customHeight="false" outlineLevel="0" collapsed="false">
      <c r="A43" s="36" t="s">
        <v>120</v>
      </c>
      <c r="B43" s="63" t="s">
        <v>121</v>
      </c>
      <c r="C43" s="36" t="s">
        <v>21</v>
      </c>
      <c r="D43" s="36" t="n">
        <v>1</v>
      </c>
      <c r="E43" s="39"/>
      <c r="F43" s="39" t="str">
        <f aca="false">IF(AND(D43&lt;&gt;"",E43&lt;&gt;""),D43*E43,"")</f>
        <v/>
      </c>
    </row>
    <row r="44" customFormat="false" ht="235.35" hidden="false" customHeight="false" outlineLevel="0" collapsed="false">
      <c r="A44" s="36" t="s">
        <v>122</v>
      </c>
      <c r="B44" s="63" t="s">
        <v>123</v>
      </c>
      <c r="C44" s="36" t="s">
        <v>21</v>
      </c>
      <c r="D44" s="36" t="n">
        <v>1</v>
      </c>
      <c r="E44" s="39"/>
      <c r="F44" s="39" t="str">
        <f aca="false">IF(AND(D44&lt;&gt;"",E44&lt;&gt;""),D44*E44,"")</f>
        <v/>
      </c>
    </row>
    <row r="45" customFormat="false" ht="23.85" hidden="false" customHeight="false" outlineLevel="0" collapsed="false">
      <c r="A45" s="36" t="s">
        <v>124</v>
      </c>
      <c r="B45" s="28" t="s">
        <v>125</v>
      </c>
      <c r="C45" s="0" t="s">
        <v>21</v>
      </c>
      <c r="D45" s="0" t="n">
        <v>1</v>
      </c>
      <c r="F45" s="39" t="str">
        <f aca="false">IF(AND(D45&lt;&gt;"",E45&lt;&gt;""),D45*E45,"")</f>
        <v/>
      </c>
    </row>
    <row r="46" customFormat="false" ht="24" hidden="false" customHeight="true" outlineLevel="0" collapsed="false">
      <c r="A46" s="36" t="s">
        <v>126</v>
      </c>
      <c r="B46" s="63" t="s">
        <v>127</v>
      </c>
      <c r="C46" s="36" t="s">
        <v>21</v>
      </c>
      <c r="D46" s="36" t="n">
        <v>1</v>
      </c>
      <c r="E46" s="39"/>
      <c r="F46" s="39" t="str">
        <f aca="false">IF(AND(D46&lt;&gt;"",E46&lt;&gt;""),D46*E46,"")</f>
        <v/>
      </c>
    </row>
    <row r="47" customFormat="false" ht="24" hidden="false" customHeight="true" outlineLevel="0" collapsed="false">
      <c r="A47" s="36" t="s">
        <v>128</v>
      </c>
      <c r="B47" s="63" t="s">
        <v>129</v>
      </c>
      <c r="C47" s="36" t="s">
        <v>48</v>
      </c>
      <c r="D47" s="36" t="n">
        <v>1</v>
      </c>
      <c r="E47" s="39"/>
      <c r="F47" s="39" t="str">
        <f aca="false">IF(AND(D47&lt;&gt;"",E47&lt;&gt;""),D47*E47,"")</f>
        <v/>
      </c>
    </row>
    <row r="48" customFormat="false" ht="88.95" hidden="false" customHeight="false" outlineLevel="0" collapsed="false">
      <c r="A48" s="36" t="s">
        <v>130</v>
      </c>
      <c r="B48" s="63" t="s">
        <v>131</v>
      </c>
      <c r="C48" s="36" t="s">
        <v>21</v>
      </c>
      <c r="D48" s="36" t="n">
        <v>1</v>
      </c>
      <c r="E48" s="39"/>
      <c r="F48" s="39" t="str">
        <f aca="false">IF(AND(D48&lt;&gt;"",E48&lt;&gt;""),D48*E48,"")</f>
        <v/>
      </c>
    </row>
    <row r="49" customFormat="false" ht="32.8" hidden="false" customHeight="false" outlineLevel="0" collapsed="false">
      <c r="A49" s="36" t="s">
        <v>132</v>
      </c>
      <c r="B49" s="63" t="s">
        <v>133</v>
      </c>
      <c r="C49" s="36" t="s">
        <v>21</v>
      </c>
      <c r="D49" s="36" t="n">
        <v>1</v>
      </c>
      <c r="E49" s="39"/>
      <c r="F49" s="39" t="str">
        <f aca="false">IF(AND(D49&lt;&gt;"",E49&lt;&gt;""),D49*E49,"")</f>
        <v/>
      </c>
    </row>
    <row r="50" customFormat="false" ht="32.8" hidden="false" customHeight="false" outlineLevel="0" collapsed="false">
      <c r="A50" s="36" t="s">
        <v>134</v>
      </c>
      <c r="B50" s="63" t="s">
        <v>135</v>
      </c>
      <c r="C50" s="36" t="s">
        <v>114</v>
      </c>
      <c r="D50" s="36" t="n">
        <v>100</v>
      </c>
      <c r="E50" s="39"/>
      <c r="F50" s="39" t="str">
        <f aca="false">IF(AND(D50&lt;&gt;"",E50&lt;&gt;""),D50*E50,"")</f>
        <v/>
      </c>
    </row>
    <row r="51" customFormat="false" ht="32.8" hidden="false" customHeight="false" outlineLevel="0" collapsed="false">
      <c r="A51" s="36" t="s">
        <v>136</v>
      </c>
      <c r="B51" s="63" t="s">
        <v>137</v>
      </c>
      <c r="C51" s="36" t="s">
        <v>21</v>
      </c>
      <c r="D51" s="36" t="n">
        <v>2</v>
      </c>
      <c r="E51" s="39"/>
      <c r="F51" s="39" t="str">
        <f aca="false">IF(AND(D51&lt;&gt;"",E51&lt;&gt;""),D51*E51,"")</f>
        <v/>
      </c>
    </row>
    <row r="52" customFormat="false" ht="74.6" hidden="false" customHeight="false" outlineLevel="0" collapsed="false">
      <c r="A52" s="36" t="s">
        <v>138</v>
      </c>
      <c r="B52" s="63" t="s">
        <v>139</v>
      </c>
      <c r="C52" s="36" t="s">
        <v>21</v>
      </c>
      <c r="D52" s="36" t="n">
        <v>1</v>
      </c>
      <c r="E52" s="39"/>
      <c r="F52" s="39" t="str">
        <f aca="false">IF(AND(D52&lt;&gt;"",E52&lt;&gt;""),D52*E52,"")</f>
        <v/>
      </c>
    </row>
    <row r="53" customFormat="false" ht="15" hidden="false" customHeight="false" outlineLevel="0" collapsed="false">
      <c r="A53" s="43"/>
      <c r="B53" s="43" t="s">
        <v>140</v>
      </c>
      <c r="C53" s="44"/>
      <c r="D53" s="44"/>
      <c r="E53" s="45"/>
      <c r="F53" s="46" t="n">
        <f aca="false">SUM(F39:F52)</f>
        <v>0</v>
      </c>
    </row>
    <row r="55" customFormat="false" ht="15" hidden="false" customHeight="false" outlineLevel="0" collapsed="false">
      <c r="A55" s="33" t="s">
        <v>10</v>
      </c>
      <c r="B55" s="34" t="s">
        <v>141</v>
      </c>
      <c r="C55" s="35"/>
      <c r="D55" s="35"/>
      <c r="E55" s="35"/>
      <c r="F55" s="35"/>
    </row>
    <row r="56" customFormat="false" ht="15" hidden="false" customHeight="false" outlineLevel="0" collapsed="false">
      <c r="A56" s="64"/>
      <c r="B56" s="44"/>
      <c r="C56" s="44"/>
      <c r="D56" s="44"/>
      <c r="E56" s="45"/>
      <c r="F56" s="64"/>
    </row>
    <row r="57" customFormat="false" ht="36" hidden="false" customHeight="true" outlineLevel="0" collapsed="false">
      <c r="A57" s="36" t="s">
        <v>142</v>
      </c>
      <c r="B57" s="63" t="s">
        <v>143</v>
      </c>
      <c r="C57" s="36" t="s">
        <v>21</v>
      </c>
      <c r="D57" s="36" t="n">
        <v>1</v>
      </c>
      <c r="E57" s="39"/>
      <c r="F57" s="39" t="str">
        <f aca="false">IF(AND(D57&lt;&gt;"",E57&lt;&gt;""),D57*E57,"")</f>
        <v/>
      </c>
    </row>
    <row r="58" customFormat="false" ht="24" hidden="false" customHeight="true" outlineLevel="0" collapsed="false">
      <c r="A58" s="36" t="s">
        <v>144</v>
      </c>
      <c r="B58" s="28" t="s">
        <v>145</v>
      </c>
      <c r="C58" s="0" t="s">
        <v>21</v>
      </c>
      <c r="D58" s="0" t="n">
        <v>1</v>
      </c>
      <c r="F58" s="39" t="str">
        <f aca="false">IF(AND(D58&lt;&gt;"",E58&lt;&gt;""),D58*E58,"")</f>
        <v/>
      </c>
    </row>
    <row r="59" customFormat="false" ht="24" hidden="false" customHeight="true" outlineLevel="0" collapsed="false">
      <c r="A59" s="36" t="s">
        <v>146</v>
      </c>
      <c r="B59" s="63" t="s">
        <v>147</v>
      </c>
      <c r="C59" s="36" t="s">
        <v>21</v>
      </c>
      <c r="D59" s="36" t="n">
        <v>1</v>
      </c>
      <c r="E59" s="39"/>
      <c r="F59" s="39" t="str">
        <f aca="false">IF(AND(D59&lt;&gt;"",E59&lt;&gt;""),D59*E59,"")</f>
        <v/>
      </c>
    </row>
    <row r="60" customFormat="false" ht="23.85" hidden="false" customHeight="false" outlineLevel="0" collapsed="false">
      <c r="A60" s="36" t="s">
        <v>148</v>
      </c>
      <c r="B60" s="28" t="s">
        <v>149</v>
      </c>
      <c r="F60" s="0" t="str">
        <f aca="false">IF(AND(D60&lt;&gt;"",E60&lt;&gt;""),D60*E60,"")</f>
        <v/>
      </c>
    </row>
    <row r="61" customFormat="false" ht="15" hidden="false" customHeight="false" outlineLevel="0" collapsed="false">
      <c r="A61" s="43"/>
      <c r="B61" s="43" t="s">
        <v>150</v>
      </c>
      <c r="C61" s="44"/>
      <c r="D61" s="44"/>
      <c r="E61" s="45"/>
      <c r="F61" s="46" t="n">
        <f aca="false">SUM(F57:F60)</f>
        <v>0</v>
      </c>
    </row>
    <row r="63" customFormat="false" ht="24" hidden="false" customHeight="true" outlineLevel="0" collapsed="false">
      <c r="A63" s="67"/>
      <c r="B63" s="67" t="s">
        <v>151</v>
      </c>
      <c r="C63" s="44"/>
      <c r="D63" s="44"/>
      <c r="E63" s="45"/>
      <c r="F63" s="68" t="n">
        <f aca="false">F36+F53+F61</f>
        <v>0</v>
      </c>
    </row>
    <row r="64" customFormat="false" ht="24" hidden="false" customHeight="true" outlineLevel="0" collapsed="false"/>
    <row r="65" customFormat="false" ht="15" hidden="false" customHeight="false" outlineLevel="0" collapsed="false">
      <c r="A65" s="69"/>
      <c r="B65" s="69" t="s">
        <v>152</v>
      </c>
      <c r="C65" s="44"/>
      <c r="D65" s="44"/>
      <c r="E65" s="45"/>
      <c r="F65" s="45"/>
    </row>
    <row r="66" customFormat="false" ht="24" hidden="false" customHeight="true" outlineLevel="0" collapsed="false">
      <c r="A66" s="64"/>
      <c r="B66" s="64"/>
      <c r="C66" s="44"/>
      <c r="D66" s="44"/>
      <c r="E66" s="45"/>
      <c r="F66" s="39" t="n">
        <f aca="false">'LOT 1'!F29</f>
        <v>0</v>
      </c>
    </row>
    <row r="67" customFormat="false" ht="15" hidden="false" customHeight="false" outlineLevel="0" collapsed="false">
      <c r="A67" s="64"/>
      <c r="B67" s="64"/>
      <c r="C67" s="44"/>
      <c r="D67" s="44"/>
      <c r="E67" s="45"/>
      <c r="F67" s="39" t="n">
        <f aca="false">F63</f>
        <v>0</v>
      </c>
    </row>
    <row r="68" customFormat="false" ht="24" hidden="false" customHeight="true" outlineLevel="0" collapsed="false">
      <c r="A68" s="43"/>
      <c r="B68" s="43" t="s">
        <v>153</v>
      </c>
      <c r="C68" s="44"/>
      <c r="D68" s="44"/>
      <c r="E68" s="45"/>
      <c r="F68" s="46" t="n">
        <f aca="false">SUM(F66:F67)</f>
        <v>0</v>
      </c>
    </row>
    <row r="69" customFormat="false" ht="15" hidden="false" customHeight="false" outlineLevel="0" collapsed="false">
      <c r="A69" s="43"/>
      <c r="B69" s="43" t="s">
        <v>154</v>
      </c>
    </row>
    <row r="70" customFormat="false" ht="15" hidden="false" customHeight="false" outlineLevel="0" collapsed="false">
      <c r="A70" s="43"/>
      <c r="B70" s="43" t="s">
        <v>155</v>
      </c>
      <c r="F70" s="0" t="n">
        <f aca="false">F68*(1-IF(F69="",0,F69/100))</f>
        <v>0</v>
      </c>
    </row>
    <row r="71" customFormat="false" ht="15" hidden="false" customHeight="false" outlineLevel="0" collapsed="false">
      <c r="A71" s="43"/>
      <c r="B71" s="43" t="s">
        <v>156</v>
      </c>
      <c r="F71" s="0" t="n">
        <f aca="false">F70*0.17</f>
        <v>0</v>
      </c>
    </row>
    <row r="72" customFormat="false" ht="15" hidden="false" customHeight="false" outlineLevel="0" collapsed="false">
      <c r="A72" s="43"/>
      <c r="B72" s="43" t="s">
        <v>157</v>
      </c>
      <c r="F72" s="0" t="n">
        <f aca="false">F70+F71</f>
        <v>0</v>
      </c>
    </row>
    <row r="74" customFormat="false" ht="15" hidden="false" customHeight="false" outlineLevel="0" collapsed="false">
      <c r="A74" s="70"/>
      <c r="B74" s="70" t="s">
        <v>158</v>
      </c>
    </row>
    <row r="75" customFormat="false" ht="20.65" hidden="false" customHeight="false" outlineLevel="0" collapsed="false">
      <c r="A75" s="71"/>
      <c r="B75" s="71" t="s">
        <v>159</v>
      </c>
    </row>
    <row r="76" customFormat="false" ht="15" hidden="false" customHeight="false" outlineLevel="0" collapsed="false">
      <c r="A76" s="71"/>
      <c r="B76" s="71" t="s">
        <v>160</v>
      </c>
    </row>
    <row r="77" customFormat="false" ht="15" hidden="false" customHeight="false" outlineLevel="0" collapsed="false">
      <c r="A77" s="71"/>
      <c r="B77" s="71" t="s">
        <v>161</v>
      </c>
    </row>
    <row r="78" customFormat="false" ht="22.35" hidden="false" customHeight="false" outlineLevel="0" collapsed="false">
      <c r="A78" s="71"/>
      <c r="B78" s="71" t="s">
        <v>162</v>
      </c>
    </row>
    <row r="79" customFormat="false" ht="15" hidden="false" customHeight="false" outlineLevel="0" collapsed="false">
      <c r="A79" s="71"/>
      <c r="B79" s="71" t="s">
        <v>163</v>
      </c>
    </row>
    <row r="80" customFormat="false" ht="40.15" hidden="false" customHeight="false" outlineLevel="0" collapsed="false">
      <c r="A80" s="71"/>
      <c r="B80" s="71" t="s">
        <v>164</v>
      </c>
    </row>
    <row r="81" customFormat="false" ht="15" hidden="false" customHeight="false" outlineLevel="0" collapsed="false">
      <c r="A81" s="71"/>
      <c r="B81" s="71" t="s">
        <v>165</v>
      </c>
    </row>
    <row r="82" customFormat="false" ht="36" hidden="false" customHeight="true" outlineLevel="0" collapsed="false"/>
    <row r="83" customFormat="false" ht="15" hidden="false" customHeight="false" outlineLevel="0" collapsed="false">
      <c r="B83" s="55" t="s">
        <v>166</v>
      </c>
      <c r="E83" s="55" t="s">
        <v>167</v>
      </c>
    </row>
    <row r="85" customFormat="false" ht="24" hidden="false" customHeight="true" outlineLevel="0" collapsed="false"/>
    <row r="86" customFormat="false" ht="36" hidden="false" customHeight="true" outlineLevel="0" collapsed="false"/>
    <row r="87" customFormat="false" ht="24" hidden="false" customHeight="true" outlineLevel="0" collapsed="false"/>
    <row r="89" customFormat="false" ht="36" hidden="false" customHeight="true" outlineLevel="0" collapsed="false"/>
    <row r="93" customFormat="false" ht="24" hidden="false" customHeight="true" outlineLevel="0" collapsed="false"/>
    <row r="94" customFormat="false" ht="24" hidden="false" customHeight="true" outlineLevel="0" collapsed="false"/>
    <row r="95" customFormat="false" ht="36" hidden="false" customHeight="true" outlineLevel="0" collapsed="false"/>
    <row r="96" customFormat="false" ht="24" hidden="false" customHeight="true" outlineLevel="0" collapsed="false"/>
    <row r="101" customFormat="false" ht="36" hidden="false" customHeight="true" outlineLevel="0" collapsed="false"/>
    <row r="102" customFormat="false" ht="36" hidden="false" customHeight="true" outlineLevel="0" collapsed="false"/>
    <row r="103" customFormat="false" ht="36" hidden="false" customHeight="true" outlineLevel="0" collapsed="false"/>
    <row r="105" customFormat="false" ht="24" hidden="false" customHeight="true" outlineLevel="0" collapsed="false"/>
    <row r="106" customFormat="false" ht="24" hidden="false" customHeight="true" outlineLevel="0" collapsed="false"/>
    <row r="108" customFormat="false" ht="24" hidden="false" customHeight="true" outlineLevel="0" collapsed="false"/>
    <row r="114" customFormat="false" ht="36" hidden="false" customHeight="true" outlineLevel="0" collapsed="false"/>
    <row r="115" customFormat="false" ht="24" hidden="false" customHeight="true" outlineLevel="0" collapsed="false"/>
    <row r="116" customFormat="false" ht="36" hidden="false" customHeight="true" outlineLevel="0" collapsed="false"/>
    <row r="121" customFormat="false" ht="36" hidden="false" customHeight="true" outlineLevel="0" collapsed="false"/>
    <row r="122" customFormat="false" ht="24" hidden="false" customHeight="true" outlineLevel="0" collapsed="false"/>
    <row r="123" customFormat="false" ht="24" hidden="false" customHeight="true" outlineLevel="0" collapsed="false"/>
    <row r="125" customFormat="false" ht="24" hidden="false" customHeight="true" outlineLevel="0" collapsed="false"/>
    <row r="126" customFormat="false" ht="15" hidden="false" customHeight="false" outlineLevel="0" collapsed="false">
      <c r="A126" s="54"/>
      <c r="B126" s="54"/>
      <c r="C126" s="54"/>
      <c r="D126" s="54"/>
      <c r="E126" s="54"/>
    </row>
    <row r="134" customFormat="false" ht="15" hidden="false" customHeight="false" outlineLevel="0" collapsed="false">
      <c r="A134" s="54"/>
      <c r="B134" s="54"/>
      <c r="C134" s="54"/>
      <c r="D134" s="54"/>
      <c r="E134" s="54"/>
    </row>
    <row r="135" customFormat="false" ht="15" hidden="false" customHeight="false" outlineLevel="0" collapsed="false">
      <c r="A135" s="54"/>
      <c r="B135" s="54"/>
      <c r="C135" s="54"/>
      <c r="D135" s="54"/>
      <c r="E135" s="54"/>
    </row>
    <row r="136" customFormat="false" ht="15" hidden="false" customHeight="false" outlineLevel="0" collapsed="false">
      <c r="A136" s="54"/>
      <c r="B136" s="54"/>
      <c r="C136" s="54"/>
      <c r="D136" s="54"/>
      <c r="E136" s="54"/>
    </row>
    <row r="137" customFormat="false" ht="15" hidden="false" customHeight="false" outlineLevel="0" collapsed="false">
      <c r="A137" s="54"/>
      <c r="B137" s="54"/>
      <c r="C137" s="54"/>
      <c r="D137" s="54"/>
      <c r="E137" s="54"/>
    </row>
    <row r="146" customFormat="false" ht="15" hidden="false" customHeight="false" outlineLevel="0" collapsed="false">
      <c r="A146" s="54"/>
      <c r="B146" s="54"/>
      <c r="C146" s="54"/>
      <c r="D146" s="54"/>
      <c r="E146" s="54"/>
      <c r="F146" s="54"/>
    </row>
    <row r="1048576" customFormat="false" ht="12.8" hidden="false" customHeight="false" outlineLevel="0" collapsed="false"/>
  </sheetData>
  <mergeCells count="8">
    <mergeCell ref="A2:F2"/>
    <mergeCell ref="A3:F3"/>
    <mergeCell ref="A126:E126"/>
    <mergeCell ref="A134:E134"/>
    <mergeCell ref="A135:E135"/>
    <mergeCell ref="A136:E136"/>
    <mergeCell ref="A137:E137"/>
    <mergeCell ref="A146:F146"/>
  </mergeCells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&amp;R&amp;"Times New Roman,Regular"&amp;12 &amp;"Arial,Regular"&amp;10 [BH Telecom | &amp;"Arial,Bold"Interno&amp;"Arial,Regular"]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2026-08-06T15:05:01Z</dcterms:created>
  <dc:creator>openpyxl</dc:creator>
  <dc:description/>
  <cp:keywords> [BH Telecom | Interno]</cp:keywords>
  <dc:language>en-GB</dc:language>
  <cp:lastModifiedBy/>
  <dcterms:modified xsi:type="dcterms:W3CDTF">2026-08-12T13:33:52Z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jClsUserRVM">
    <vt:lpwstr>[]</vt:lpwstr>
  </property>
  <property fmtid="{D5CDD505-2E9C-101B-9397-08002B2CF9AE}" pid="3" name="bjDocumentLabelXML">
    <vt:lpwstr>&lt;?xml version="1.0" encoding="us-ascii"?&gt;&lt;sisl xmlns:xsi="http://www.w3.org/2001/XMLSchema-instance" xmlns:xsd="http://www.w3.org/2001/XMLSchema" sislVersion="0" policy="5f91bfb2-a9c1-45d0-8517-08b1f316eb15" origin="userSelected" xmlns="http://www.boldonj</vt:lpwstr>
  </property>
  <property fmtid="{D5CDD505-2E9C-101B-9397-08002B2CF9AE}" pid="4" name="bjDocumentLabelXML-0">
    <vt:lpwstr>ames.com/2008/01/sie/internal/label"&gt;&lt;element uid="id_classification_generalbusiness" value="" /&gt;&lt;/sisl&gt;</vt:lpwstr>
  </property>
  <property fmtid="{D5CDD505-2E9C-101B-9397-08002B2CF9AE}" pid="5" name="bjDocumentSecurityLabel">
    <vt:lpwstr>Interno</vt:lpwstr>
  </property>
  <property fmtid="{D5CDD505-2E9C-101B-9397-08002B2CF9AE}" pid="6" name="bjLabelHistoryID">
    <vt:lpwstr>{740AF07F-B5FD-4336-9AA5-5B70F58EC679}</vt:lpwstr>
  </property>
  <property fmtid="{D5CDD505-2E9C-101B-9397-08002B2CF9AE}" pid="7" name="bjRightHeaderLabel">
    <vt:lpwstr>&amp;"Times New Roman,Regular"&amp;12&amp;K000000 &amp;"Arial,Regular"&amp;10&amp;K000000[BH Telecom | &amp;B&amp;K000000Interno&amp;B&amp;K000000]</vt:lpwstr>
  </property>
  <property fmtid="{D5CDD505-2E9C-101B-9397-08002B2CF9AE}" pid="8" name="bjRightHeaderLabel-even">
    <vt:lpwstr>&amp;"Times New Roman,Regular"&amp;12&amp;K000000 &amp;"Arial,Regular"&amp;10&amp;K000000[BH Telecom | &amp;B&amp;K000000Interno&amp;B&amp;K000000]</vt:lpwstr>
  </property>
  <property fmtid="{D5CDD505-2E9C-101B-9397-08002B2CF9AE}" pid="9" name="bjRightHeaderLabel-first">
    <vt:lpwstr>&amp;"Times New Roman,Regular"&amp;12&amp;K000000 &amp;"Arial,Regular"&amp;10&amp;K000000[BH Telecom | &amp;B&amp;K000000Interno&amp;B&amp;K000000]</vt:lpwstr>
  </property>
  <property fmtid="{D5CDD505-2E9C-101B-9397-08002B2CF9AE}" pid="10" name="bjSaver">
    <vt:lpwstr>PBKzKNjp5eaEU3tBjVgEWI+fS8Y9fUcj</vt:lpwstr>
  </property>
  <property fmtid="{D5CDD505-2E9C-101B-9397-08002B2CF9AE}" pid="11" name="docIndexRef">
    <vt:lpwstr>8fb2bdcd-5e0f-4d13-acfc-f618c7274118</vt:lpwstr>
  </property>
</Properties>
</file>